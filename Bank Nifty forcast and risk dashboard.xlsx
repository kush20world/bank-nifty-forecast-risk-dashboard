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c58bb1f022c0ab/Desktop/Bank_nifty_forcast/"/>
    </mc:Choice>
  </mc:AlternateContent>
  <xr:revisionPtr revIDLastSave="19" documentId="8_{C8140B64-256D-455E-ABB0-84DA4106F9A6}" xr6:coauthVersionLast="47" xr6:coauthVersionMax="47" xr10:uidLastSave="{6D780704-44D6-4CA9-B4FC-935D4760039F}"/>
  <bookViews>
    <workbookView xWindow="-108" yWindow="-108" windowWidth="23256" windowHeight="12456" activeTab="4" xr2:uid="{4828C3C7-4A14-4A70-BDF8-075A32C81774}"/>
  </bookViews>
  <sheets>
    <sheet name="Project_Overview" sheetId="7" r:id="rId1"/>
    <sheet name="Raw_data" sheetId="1" r:id="rId2"/>
    <sheet name="Analysis" sheetId="2" r:id="rId3"/>
    <sheet name="Forecast_Model" sheetId="6" r:id="rId4"/>
    <sheet name="Dashbo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I3" i="5"/>
  <c r="G3" i="5"/>
  <c r="E3" i="5"/>
  <c r="Q6" i="2"/>
  <c r="Q5" i="2"/>
  <c r="Q4" i="2"/>
  <c r="Q3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 s="1"/>
  <c r="N21" i="2" s="1"/>
  <c r="N22" i="2"/>
  <c r="N23" i="2"/>
  <c r="N24" i="2"/>
  <c r="N25" i="2"/>
  <c r="N26" i="2"/>
  <c r="N27" i="2" s="1"/>
  <c r="N28" i="2" s="1"/>
  <c r="N29" i="2"/>
  <c r="N30" i="2"/>
  <c r="N31" i="2"/>
  <c r="N32" i="2"/>
  <c r="N33" i="2"/>
  <c r="N34" i="2" s="1"/>
  <c r="N35" i="2" s="1"/>
  <c r="N36" i="2"/>
  <c r="N37" i="2"/>
  <c r="N38" i="2"/>
  <c r="N39" i="2"/>
  <c r="N40" i="2"/>
  <c r="N41" i="2"/>
  <c r="N42" i="2"/>
  <c r="N43" i="2"/>
  <c r="N44" i="2"/>
  <c r="N45" i="2"/>
  <c r="N46" i="2"/>
  <c r="N47" i="2"/>
  <c r="N48" i="2" s="1"/>
  <c r="N49" i="2" s="1"/>
  <c r="N50" i="2"/>
  <c r="N51" i="2"/>
  <c r="N52" i="2"/>
  <c r="N53" i="2"/>
  <c r="N54" i="2"/>
  <c r="N55" i="2" s="1"/>
  <c r="N56" i="2" s="1"/>
  <c r="N57" i="2"/>
  <c r="N58" i="2"/>
  <c r="N59" i="2" s="1"/>
  <c r="N60" i="2"/>
  <c r="N61" i="2"/>
  <c r="N62" i="2" s="1"/>
  <c r="N63" i="2" s="1"/>
  <c r="N64" i="2"/>
  <c r="N65" i="2"/>
  <c r="N66" i="2"/>
  <c r="N67" i="2"/>
  <c r="N68" i="2"/>
  <c r="N69" i="2" s="1"/>
  <c r="N70" i="2" s="1"/>
  <c r="N71" i="2"/>
  <c r="N72" i="2"/>
  <c r="N73" i="2"/>
  <c r="N74" i="2"/>
  <c r="N75" i="2"/>
  <c r="N76" i="2" s="1"/>
  <c r="N77" i="2" s="1"/>
  <c r="N78" i="2"/>
  <c r="N79" i="2"/>
  <c r="N80" i="2"/>
  <c r="N81" i="2"/>
  <c r="N82" i="2"/>
  <c r="N83" i="2"/>
  <c r="N84" i="2" s="1"/>
  <c r="N85" i="2"/>
  <c r="N86" i="2"/>
  <c r="N87" i="2"/>
  <c r="N88" i="2"/>
  <c r="N89" i="2"/>
  <c r="N90" i="2" s="1"/>
  <c r="N91" i="2" s="1"/>
  <c r="N92" i="2"/>
  <c r="N93" i="2"/>
  <c r="N94" i="2"/>
  <c r="N95" i="2"/>
  <c r="N96" i="2"/>
  <c r="N97" i="2" s="1"/>
  <c r="N98" i="2" s="1"/>
  <c r="N99" i="2"/>
  <c r="N100" i="2"/>
  <c r="N101" i="2"/>
  <c r="N102" i="2"/>
  <c r="N103" i="2"/>
  <c r="N104" i="2" s="1"/>
  <c r="N105" i="2" s="1"/>
  <c r="N106" i="2"/>
  <c r="N107" i="2"/>
  <c r="N108" i="2"/>
  <c r="N109" i="2"/>
  <c r="N110" i="2"/>
  <c r="N111" i="2" s="1"/>
  <c r="N112" i="2" s="1"/>
  <c r="N113" i="2"/>
  <c r="N114" i="2"/>
  <c r="N115" i="2"/>
  <c r="N116" i="2"/>
  <c r="N117" i="2"/>
  <c r="N118" i="2" s="1"/>
  <c r="N119" i="2" s="1"/>
  <c r="N120" i="2"/>
  <c r="N121" i="2"/>
  <c r="N122" i="2"/>
  <c r="N123" i="2"/>
  <c r="N124" i="2"/>
  <c r="N125" i="2" s="1"/>
  <c r="N126" i="2" s="1"/>
  <c r="N127" i="2"/>
  <c r="N128" i="2"/>
  <c r="N129" i="2"/>
  <c r="N130" i="2"/>
  <c r="N131" i="2"/>
  <c r="N132" i="2" s="1"/>
  <c r="N133" i="2" s="1"/>
  <c r="N134" i="2"/>
  <c r="N135" i="2"/>
  <c r="N136" i="2"/>
  <c r="N137" i="2"/>
  <c r="N138" i="2"/>
  <c r="N139" i="2" s="1"/>
  <c r="N140" i="2" s="1"/>
  <c r="N141" i="2"/>
  <c r="N142" i="2"/>
  <c r="N143" i="2"/>
  <c r="N144" i="2"/>
  <c r="N145" i="2"/>
  <c r="N146" i="2" s="1"/>
  <c r="N147" i="2" s="1"/>
  <c r="N148" i="2"/>
  <c r="N149" i="2"/>
  <c r="N150" i="2"/>
  <c r="N151" i="2"/>
  <c r="N152" i="2"/>
  <c r="N153" i="2"/>
  <c r="N154" i="2" s="1"/>
  <c r="N155" i="2"/>
  <c r="N156" i="2"/>
  <c r="N157" i="2"/>
  <c r="N158" i="2"/>
  <c r="N159" i="2"/>
  <c r="N160" i="2"/>
  <c r="N16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2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5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2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2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4" i="2"/>
  <c r="C3" i="2"/>
  <c r="C162" i="6"/>
  <c r="C174" i="6"/>
  <c r="C186" i="6"/>
  <c r="C198" i="6"/>
  <c r="C210" i="6"/>
  <c r="C222" i="6"/>
  <c r="C234" i="6"/>
  <c r="C246" i="6"/>
  <c r="C258" i="6"/>
  <c r="C270" i="6"/>
  <c r="C282" i="6"/>
  <c r="C294" i="6"/>
  <c r="C306" i="6"/>
  <c r="C318" i="6"/>
  <c r="C199" i="6"/>
  <c r="C235" i="6"/>
  <c r="C271" i="6"/>
  <c r="C307" i="6"/>
  <c r="C190" i="6"/>
  <c r="C262" i="6"/>
  <c r="C310" i="6"/>
  <c r="C215" i="6"/>
  <c r="C299" i="6"/>
  <c r="C163" i="6"/>
  <c r="C164" i="6"/>
  <c r="C176" i="6"/>
  <c r="C188" i="6"/>
  <c r="C200" i="6"/>
  <c r="C212" i="6"/>
  <c r="C224" i="6"/>
  <c r="C236" i="6"/>
  <c r="C248" i="6"/>
  <c r="C260" i="6"/>
  <c r="C272" i="6"/>
  <c r="C284" i="6"/>
  <c r="C296" i="6"/>
  <c r="C308" i="6"/>
  <c r="C320" i="6"/>
  <c r="C177" i="6"/>
  <c r="C189" i="6"/>
  <c r="C201" i="6"/>
  <c r="C213" i="6"/>
  <c r="C225" i="6"/>
  <c r="C237" i="6"/>
  <c r="C249" i="6"/>
  <c r="C261" i="6"/>
  <c r="C273" i="6"/>
  <c r="C285" i="6"/>
  <c r="C297" i="6"/>
  <c r="C309" i="6"/>
  <c r="C321" i="6"/>
  <c r="C178" i="6"/>
  <c r="C250" i="6"/>
  <c r="C274" i="6"/>
  <c r="C239" i="6"/>
  <c r="C287" i="6"/>
  <c r="C165" i="6"/>
  <c r="C166" i="6"/>
  <c r="C167" i="6"/>
  <c r="C168" i="6"/>
  <c r="C180" i="6"/>
  <c r="C192" i="6"/>
  <c r="C204" i="6"/>
  <c r="C216" i="6"/>
  <c r="C228" i="6"/>
  <c r="C240" i="6"/>
  <c r="C252" i="6"/>
  <c r="C264" i="6"/>
  <c r="C276" i="6"/>
  <c r="C288" i="6"/>
  <c r="C300" i="6"/>
  <c r="C312" i="6"/>
  <c r="C226" i="6"/>
  <c r="C191" i="6"/>
  <c r="C275" i="6"/>
  <c r="C169" i="6"/>
  <c r="C181" i="6"/>
  <c r="C193" i="6"/>
  <c r="C205" i="6"/>
  <c r="C217" i="6"/>
  <c r="C229" i="6"/>
  <c r="C241" i="6"/>
  <c r="C253" i="6"/>
  <c r="C265" i="6"/>
  <c r="C277" i="6"/>
  <c r="C289" i="6"/>
  <c r="C301" i="6"/>
  <c r="C313" i="6"/>
  <c r="C170" i="6"/>
  <c r="C182" i="6"/>
  <c r="C194" i="6"/>
  <c r="C206" i="6"/>
  <c r="C218" i="6"/>
  <c r="C230" i="6"/>
  <c r="C242" i="6"/>
  <c r="C254" i="6"/>
  <c r="C266" i="6"/>
  <c r="C278" i="6"/>
  <c r="C290" i="6"/>
  <c r="C302" i="6"/>
  <c r="C314" i="6"/>
  <c r="C238" i="6"/>
  <c r="C179" i="6"/>
  <c r="C263" i="6"/>
  <c r="C171" i="6"/>
  <c r="C183" i="6"/>
  <c r="C195" i="6"/>
  <c r="C207" i="6"/>
  <c r="C219" i="6"/>
  <c r="C231" i="6"/>
  <c r="C243" i="6"/>
  <c r="C255" i="6"/>
  <c r="C267" i="6"/>
  <c r="C279" i="6"/>
  <c r="C291" i="6"/>
  <c r="C303" i="6"/>
  <c r="C315" i="6"/>
  <c r="C172" i="6"/>
  <c r="C184" i="6"/>
  <c r="C196" i="6"/>
  <c r="C208" i="6"/>
  <c r="C220" i="6"/>
  <c r="C232" i="6"/>
  <c r="C244" i="6"/>
  <c r="C256" i="6"/>
  <c r="C268" i="6"/>
  <c r="C280" i="6"/>
  <c r="C292" i="6"/>
  <c r="C304" i="6"/>
  <c r="C316" i="6"/>
  <c r="C187" i="6"/>
  <c r="C223" i="6"/>
  <c r="C259" i="6"/>
  <c r="C295" i="6"/>
  <c r="C202" i="6"/>
  <c r="C298" i="6"/>
  <c r="C227" i="6"/>
  <c r="C311" i="6"/>
  <c r="C173" i="6"/>
  <c r="C185" i="6"/>
  <c r="C197" i="6"/>
  <c r="C209" i="6"/>
  <c r="C221" i="6"/>
  <c r="C233" i="6"/>
  <c r="C245" i="6"/>
  <c r="C257" i="6"/>
  <c r="C269" i="6"/>
  <c r="C281" i="6"/>
  <c r="C293" i="6"/>
  <c r="C305" i="6"/>
  <c r="C317" i="6"/>
  <c r="C175" i="6"/>
  <c r="C211" i="6"/>
  <c r="C247" i="6"/>
  <c r="C283" i="6"/>
  <c r="C319" i="6"/>
  <c r="C214" i="6"/>
  <c r="C286" i="6"/>
  <c r="C203" i="6"/>
  <c r="C251" i="6"/>
  <c r="D251" i="6"/>
  <c r="D247" i="6"/>
  <c r="D281" i="6"/>
  <c r="D209" i="6"/>
  <c r="E298" i="6"/>
  <c r="D316" i="6"/>
  <c r="D244" i="6"/>
  <c r="D172" i="6"/>
  <c r="D255" i="6"/>
  <c r="D183" i="6"/>
  <c r="D302" i="6"/>
  <c r="D230" i="6"/>
  <c r="E313" i="6"/>
  <c r="E241" i="6"/>
  <c r="D169" i="6"/>
  <c r="E288" i="6"/>
  <c r="E216" i="6"/>
  <c r="E166" i="6"/>
  <c r="D215" i="6"/>
  <c r="E251" i="6"/>
  <c r="E247" i="6"/>
  <c r="E281" i="6"/>
  <c r="E209" i="6"/>
  <c r="D298" i="6"/>
  <c r="E316" i="6"/>
  <c r="E244" i="6"/>
  <c r="E172" i="6"/>
  <c r="E255" i="6"/>
  <c r="E183" i="6"/>
  <c r="E302" i="6"/>
  <c r="E230" i="6"/>
  <c r="D313" i="6"/>
  <c r="D241" i="6"/>
  <c r="E169" i="6"/>
  <c r="D288" i="6"/>
  <c r="D216" i="6"/>
  <c r="D166" i="6"/>
  <c r="D178" i="6"/>
  <c r="E261" i="6"/>
  <c r="E189" i="6"/>
  <c r="E272" i="6"/>
  <c r="E200" i="6"/>
  <c r="E215" i="6"/>
  <c r="D235" i="6"/>
  <c r="D270" i="6"/>
  <c r="D198" i="6"/>
  <c r="E258" i="6"/>
  <c r="E190" i="6"/>
  <c r="D279" i="6"/>
  <c r="E265" i="6"/>
  <c r="D213" i="6"/>
  <c r="D311" i="6"/>
  <c r="E279" i="6"/>
  <c r="D312" i="6"/>
  <c r="E224" i="6"/>
  <c r="D221" i="6"/>
  <c r="D267" i="6"/>
  <c r="E181" i="6"/>
  <c r="D284" i="6"/>
  <c r="E221" i="6"/>
  <c r="E267" i="6"/>
  <c r="D300" i="6"/>
  <c r="E284" i="6"/>
  <c r="D272" i="6"/>
  <c r="D203" i="6"/>
  <c r="E211" i="6"/>
  <c r="D269" i="6"/>
  <c r="D197" i="6"/>
  <c r="E202" i="6"/>
  <c r="D304" i="6"/>
  <c r="D232" i="6"/>
  <c r="D315" i="6"/>
  <c r="E243" i="6"/>
  <c r="E171" i="6"/>
  <c r="D290" i="6"/>
  <c r="D218" i="6"/>
  <c r="E301" i="6"/>
  <c r="E229" i="6"/>
  <c r="D275" i="6"/>
  <c r="E276" i="6"/>
  <c r="E204" i="6"/>
  <c r="D165" i="6"/>
  <c r="D321" i="6"/>
  <c r="D249" i="6"/>
  <c r="D177" i="6"/>
  <c r="D260" i="6"/>
  <c r="D188" i="6"/>
  <c r="E310" i="6"/>
  <c r="D199" i="6"/>
  <c r="E186" i="6"/>
  <c r="D306" i="6"/>
  <c r="E238" i="6"/>
  <c r="E240" i="6"/>
  <c r="E163" i="6"/>
  <c r="E233" i="6"/>
  <c r="E182" i="6"/>
  <c r="E285" i="6"/>
  <c r="E307" i="6"/>
  <c r="E227" i="6"/>
  <c r="D195" i="6"/>
  <c r="E228" i="6"/>
  <c r="D212" i="6"/>
  <c r="D227" i="6"/>
  <c r="E242" i="6"/>
  <c r="D228" i="6"/>
  <c r="E212" i="6"/>
  <c r="D261" i="6"/>
  <c r="E203" i="6"/>
  <c r="D211" i="6"/>
  <c r="E269" i="6"/>
  <c r="E197" i="6"/>
  <c r="D202" i="6"/>
  <c r="E304" i="6"/>
  <c r="E232" i="6"/>
  <c r="E315" i="6"/>
  <c r="D243" i="6"/>
  <c r="D171" i="6"/>
  <c r="E290" i="6"/>
  <c r="E218" i="6"/>
  <c r="D301" i="6"/>
  <c r="D229" i="6"/>
  <c r="E275" i="6"/>
  <c r="D276" i="6"/>
  <c r="D204" i="6"/>
  <c r="E165" i="6"/>
  <c r="E321" i="6"/>
  <c r="E249" i="6"/>
  <c r="E177" i="6"/>
  <c r="E260" i="6"/>
  <c r="E188" i="6"/>
  <c r="D310" i="6"/>
  <c r="E199" i="6"/>
  <c r="D258" i="6"/>
  <c r="D186" i="6"/>
  <c r="D292" i="6"/>
  <c r="E303" i="6"/>
  <c r="E231" i="6"/>
  <c r="E263" i="6"/>
  <c r="D206" i="6"/>
  <c r="E289" i="6"/>
  <c r="E217" i="6"/>
  <c r="E191" i="6"/>
  <c r="E192" i="6"/>
  <c r="D287" i="6"/>
  <c r="D309" i="6"/>
  <c r="D320" i="6"/>
  <c r="D248" i="6"/>
  <c r="D176" i="6"/>
  <c r="D318" i="6"/>
  <c r="D246" i="6"/>
  <c r="E287" i="6"/>
  <c r="E248" i="6"/>
  <c r="E246" i="6"/>
  <c r="E205" i="6"/>
  <c r="D236" i="6"/>
  <c r="E312" i="6"/>
  <c r="D224" i="6"/>
  <c r="D319" i="6"/>
  <c r="D207" i="6"/>
  <c r="E213" i="6"/>
  <c r="E187" i="6"/>
  <c r="D242" i="6"/>
  <c r="D273" i="6"/>
  <c r="D187" i="6"/>
  <c r="D253" i="6"/>
  <c r="E273" i="6"/>
  <c r="D210" i="6"/>
  <c r="E270" i="6"/>
  <c r="E286" i="6"/>
  <c r="D175" i="6"/>
  <c r="D257" i="6"/>
  <c r="D185" i="6"/>
  <c r="D295" i="6"/>
  <c r="D220" i="6"/>
  <c r="D278" i="6"/>
  <c r="E264" i="6"/>
  <c r="D237" i="6"/>
  <c r="E262" i="6"/>
  <c r="D174" i="6"/>
  <c r="E237" i="6"/>
  <c r="E176" i="6"/>
  <c r="E318" i="6"/>
  <c r="E174" i="6"/>
  <c r="E226" i="6"/>
  <c r="D239" i="6"/>
  <c r="D164" i="6"/>
  <c r="E207" i="6"/>
  <c r="E168" i="6"/>
  <c r="E294" i="6"/>
  <c r="E223" i="6"/>
  <c r="E254" i="6"/>
  <c r="D240" i="6"/>
  <c r="E296" i="6"/>
  <c r="D283" i="6"/>
  <c r="D314" i="6"/>
  <c r="D167" i="6"/>
  <c r="D299" i="6"/>
  <c r="E293" i="6"/>
  <c r="E314" i="6"/>
  <c r="E167" i="6"/>
  <c r="D271" i="6"/>
  <c r="D200" i="6"/>
  <c r="D286" i="6"/>
  <c r="E175" i="6"/>
  <c r="E257" i="6"/>
  <c r="E185" i="6"/>
  <c r="E295" i="6"/>
  <c r="E292" i="6"/>
  <c r="E220" i="6"/>
  <c r="D303" i="6"/>
  <c r="D231" i="6"/>
  <c r="D263" i="6"/>
  <c r="E278" i="6"/>
  <c r="E206" i="6"/>
  <c r="D289" i="6"/>
  <c r="D217" i="6"/>
  <c r="D191" i="6"/>
  <c r="D264" i="6"/>
  <c r="D192" i="6"/>
  <c r="E309" i="6"/>
  <c r="E320" i="6"/>
  <c r="D262" i="6"/>
  <c r="E277" i="6"/>
  <c r="E180" i="6"/>
  <c r="D297" i="6"/>
  <c r="D308" i="6"/>
  <c r="D234" i="6"/>
  <c r="D254" i="6"/>
  <c r="E193" i="6"/>
  <c r="D296" i="6"/>
  <c r="E305" i="6"/>
  <c r="D265" i="6"/>
  <c r="D274" i="6"/>
  <c r="D294" i="6"/>
  <c r="D293" i="6"/>
  <c r="D170" i="6"/>
  <c r="E250" i="6"/>
  <c r="D282" i="6"/>
  <c r="E283" i="6"/>
  <c r="E195" i="6"/>
  <c r="D250" i="6"/>
  <c r="E282" i="6"/>
  <c r="D189" i="6"/>
  <c r="E214" i="6"/>
  <c r="D317" i="6"/>
  <c r="D245" i="6"/>
  <c r="D173" i="6"/>
  <c r="E259" i="6"/>
  <c r="D280" i="6"/>
  <c r="D208" i="6"/>
  <c r="E291" i="6"/>
  <c r="D219" i="6"/>
  <c r="D179" i="6"/>
  <c r="D266" i="6"/>
  <c r="D194" i="6"/>
  <c r="E252" i="6"/>
  <c r="D225" i="6"/>
  <c r="D162" i="6"/>
  <c r="E274" i="6"/>
  <c r="D307" i="6"/>
  <c r="E268" i="6"/>
  <c r="D193" i="6"/>
  <c r="D163" i="6"/>
  <c r="D184" i="6"/>
  <c r="E300" i="6"/>
  <c r="E271" i="6"/>
  <c r="E256" i="6"/>
  <c r="D181" i="6"/>
  <c r="E299" i="6"/>
  <c r="E235" i="6"/>
  <c r="D214" i="6"/>
  <c r="E317" i="6"/>
  <c r="E245" i="6"/>
  <c r="E173" i="6"/>
  <c r="D259" i="6"/>
  <c r="E280" i="6"/>
  <c r="E208" i="6"/>
  <c r="D291" i="6"/>
  <c r="E219" i="6"/>
  <c r="E179" i="6"/>
  <c r="E266" i="6"/>
  <c r="E194" i="6"/>
  <c r="D277" i="6"/>
  <c r="D205" i="6"/>
  <c r="D226" i="6"/>
  <c r="D252" i="6"/>
  <c r="D180" i="6"/>
  <c r="E239" i="6"/>
  <c r="E297" i="6"/>
  <c r="E225" i="6"/>
  <c r="E308" i="6"/>
  <c r="E236" i="6"/>
  <c r="E164" i="6"/>
  <c r="D190" i="6"/>
  <c r="E306" i="6"/>
  <c r="E234" i="6"/>
  <c r="E162" i="6"/>
  <c r="E319" i="6"/>
  <c r="D305" i="6"/>
  <c r="D233" i="6"/>
  <c r="E311" i="6"/>
  <c r="D223" i="6"/>
  <c r="D268" i="6"/>
  <c r="D196" i="6"/>
  <c r="D182" i="6"/>
  <c r="D285" i="6"/>
  <c r="D222" i="6"/>
  <c r="E196" i="6"/>
  <c r="D238" i="6"/>
  <c r="D168" i="6"/>
  <c r="E222" i="6"/>
  <c r="D256" i="6"/>
  <c r="E253" i="6"/>
  <c r="D201" i="6"/>
  <c r="E210" i="6"/>
  <c r="E184" i="6"/>
  <c r="E170" i="6"/>
  <c r="E201" i="6"/>
  <c r="E178" i="6"/>
  <c r="E198" i="6"/>
</calcChain>
</file>

<file path=xl/sharedStrings.xml><?xml version="1.0" encoding="utf-8"?>
<sst xmlns="http://schemas.openxmlformats.org/spreadsheetml/2006/main" count="34" uniqueCount="27">
  <si>
    <t>Date</t>
  </si>
  <si>
    <t>Open</t>
  </si>
  <si>
    <t>High</t>
  </si>
  <si>
    <t>Low</t>
  </si>
  <si>
    <t>Close</t>
  </si>
  <si>
    <t>Daily_return</t>
  </si>
  <si>
    <t>Log_return</t>
  </si>
  <si>
    <t>Lag_Return</t>
  </si>
  <si>
    <t>Rolling_Volatility_20D</t>
  </si>
  <si>
    <t>MA_20</t>
  </si>
  <si>
    <t>MA_50</t>
  </si>
  <si>
    <t>Running_Peak</t>
  </si>
  <si>
    <t>Drawdown</t>
  </si>
  <si>
    <t>close_filled</t>
  </si>
  <si>
    <t>KPI Metrics</t>
  </si>
  <si>
    <t>Average Return</t>
  </si>
  <si>
    <t>Volatility</t>
  </si>
  <si>
    <t>Max Drawdown</t>
  </si>
  <si>
    <t>Total Growth</t>
  </si>
  <si>
    <t>Values</t>
  </si>
  <si>
    <t>Bank Nifty Forecast &amp; Risk Dashboard</t>
  </si>
  <si>
    <t>Total Growth %</t>
  </si>
  <si>
    <t>Closing</t>
  </si>
  <si>
    <t>DATE</t>
  </si>
  <si>
    <t>Forecast(Closing)</t>
  </si>
  <si>
    <t>Lower Confidence Bound(Closing)</t>
  </si>
  <si>
    <t>Upper Confidence Bound(Closing)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</si>
</sst>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5E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vertical="center"/>
    </xf>
    <xf numFmtId="0" fontId="0" fillId="4" borderId="0" xfId="0" applyFill="1"/>
    <xf numFmtId="0" fontId="3" fillId="4" borderId="1" xfId="0" applyFont="1" applyFill="1" applyBorder="1"/>
    <xf numFmtId="10" fontId="4" fillId="4" borderId="2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2" borderId="0" xfId="0" applyFill="1"/>
    <xf numFmtId="14" fontId="2" fillId="0" borderId="3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5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colors>
    <mruColors>
      <color rgb="FFE7E5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Bank Nifty Price Trend with Moving Averages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Analysis!$A$2:$A$162</c:f>
              <c:numCache>
                <c:formatCode>m/d/yyyy</c:formatCode>
                <c:ptCount val="16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45887</c:v>
                </c:pt>
                <c:pt idx="34">
                  <c:v>45888</c:v>
                </c:pt>
                <c:pt idx="35">
                  <c:v>45889</c:v>
                </c:pt>
                <c:pt idx="36">
                  <c:v>45890</c:v>
                </c:pt>
                <c:pt idx="37">
                  <c:v>45891</c:v>
                </c:pt>
                <c:pt idx="38">
                  <c:v>45894</c:v>
                </c:pt>
                <c:pt idx="39">
                  <c:v>45895</c:v>
                </c:pt>
                <c:pt idx="40">
                  <c:v>45897</c:v>
                </c:pt>
                <c:pt idx="41">
                  <c:v>45898</c:v>
                </c:pt>
                <c:pt idx="42">
                  <c:v>45901</c:v>
                </c:pt>
                <c:pt idx="43">
                  <c:v>45902</c:v>
                </c:pt>
                <c:pt idx="44">
                  <c:v>45903</c:v>
                </c:pt>
                <c:pt idx="45">
                  <c:v>45904</c:v>
                </c:pt>
                <c:pt idx="46">
                  <c:v>45905</c:v>
                </c:pt>
                <c:pt idx="47">
                  <c:v>45908</c:v>
                </c:pt>
                <c:pt idx="48">
                  <c:v>45909</c:v>
                </c:pt>
                <c:pt idx="49">
                  <c:v>45910</c:v>
                </c:pt>
                <c:pt idx="50">
                  <c:v>45911</c:v>
                </c:pt>
                <c:pt idx="51">
                  <c:v>45912</c:v>
                </c:pt>
                <c:pt idx="52">
                  <c:v>45915</c:v>
                </c:pt>
                <c:pt idx="53">
                  <c:v>45916</c:v>
                </c:pt>
                <c:pt idx="54">
                  <c:v>45917</c:v>
                </c:pt>
                <c:pt idx="55">
                  <c:v>45918</c:v>
                </c:pt>
                <c:pt idx="56">
                  <c:v>45919</c:v>
                </c:pt>
                <c:pt idx="57">
                  <c:v>45922</c:v>
                </c:pt>
                <c:pt idx="58">
                  <c:v>45923</c:v>
                </c:pt>
                <c:pt idx="59">
                  <c:v>45924</c:v>
                </c:pt>
                <c:pt idx="60">
                  <c:v>45925</c:v>
                </c:pt>
                <c:pt idx="61">
                  <c:v>45926</c:v>
                </c:pt>
                <c:pt idx="62">
                  <c:v>45929</c:v>
                </c:pt>
                <c:pt idx="63">
                  <c:v>45930</c:v>
                </c:pt>
                <c:pt idx="64">
                  <c:v>45931</c:v>
                </c:pt>
                <c:pt idx="65">
                  <c:v>45933</c:v>
                </c:pt>
                <c:pt idx="66">
                  <c:v>45936</c:v>
                </c:pt>
                <c:pt idx="67">
                  <c:v>45937</c:v>
                </c:pt>
                <c:pt idx="68">
                  <c:v>45938</c:v>
                </c:pt>
                <c:pt idx="69">
                  <c:v>45939</c:v>
                </c:pt>
                <c:pt idx="70">
                  <c:v>45940</c:v>
                </c:pt>
                <c:pt idx="71">
                  <c:v>45943</c:v>
                </c:pt>
                <c:pt idx="72">
                  <c:v>45944</c:v>
                </c:pt>
                <c:pt idx="73">
                  <c:v>45945</c:v>
                </c:pt>
                <c:pt idx="74">
                  <c:v>45946</c:v>
                </c:pt>
                <c:pt idx="75">
                  <c:v>45947</c:v>
                </c:pt>
                <c:pt idx="76">
                  <c:v>45950</c:v>
                </c:pt>
                <c:pt idx="77">
                  <c:v>45951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45961</c:v>
                </c:pt>
                <c:pt idx="85">
                  <c:v>45964</c:v>
                </c:pt>
                <c:pt idx="86">
                  <c:v>45965</c:v>
                </c:pt>
                <c:pt idx="87">
                  <c:v>45967</c:v>
                </c:pt>
                <c:pt idx="88">
                  <c:v>45968</c:v>
                </c:pt>
                <c:pt idx="89">
                  <c:v>45971</c:v>
                </c:pt>
                <c:pt idx="90">
                  <c:v>45972</c:v>
                </c:pt>
                <c:pt idx="91">
                  <c:v>45973</c:v>
                </c:pt>
                <c:pt idx="92">
                  <c:v>45974</c:v>
                </c:pt>
                <c:pt idx="93">
                  <c:v>45975</c:v>
                </c:pt>
                <c:pt idx="94">
                  <c:v>45978</c:v>
                </c:pt>
                <c:pt idx="95">
                  <c:v>45979</c:v>
                </c:pt>
                <c:pt idx="96">
                  <c:v>45980</c:v>
                </c:pt>
                <c:pt idx="97">
                  <c:v>45981</c:v>
                </c:pt>
                <c:pt idx="98">
                  <c:v>45982</c:v>
                </c:pt>
                <c:pt idx="99">
                  <c:v>45985</c:v>
                </c:pt>
                <c:pt idx="100">
                  <c:v>45986</c:v>
                </c:pt>
                <c:pt idx="101">
                  <c:v>45987</c:v>
                </c:pt>
                <c:pt idx="102">
                  <c:v>45988</c:v>
                </c:pt>
                <c:pt idx="103">
                  <c:v>45989</c:v>
                </c:pt>
                <c:pt idx="104">
                  <c:v>45992</c:v>
                </c:pt>
                <c:pt idx="105">
                  <c:v>45993</c:v>
                </c:pt>
                <c:pt idx="106">
                  <c:v>45994</c:v>
                </c:pt>
                <c:pt idx="107">
                  <c:v>45995</c:v>
                </c:pt>
                <c:pt idx="108">
                  <c:v>45996</c:v>
                </c:pt>
                <c:pt idx="109">
                  <c:v>45999</c:v>
                </c:pt>
                <c:pt idx="110">
                  <c:v>46000</c:v>
                </c:pt>
                <c:pt idx="111">
                  <c:v>46001</c:v>
                </c:pt>
                <c:pt idx="112">
                  <c:v>46002</c:v>
                </c:pt>
                <c:pt idx="113">
                  <c:v>46003</c:v>
                </c:pt>
                <c:pt idx="114">
                  <c:v>46006</c:v>
                </c:pt>
                <c:pt idx="115">
                  <c:v>46007</c:v>
                </c:pt>
                <c:pt idx="116">
                  <c:v>46008</c:v>
                </c:pt>
                <c:pt idx="117">
                  <c:v>46009</c:v>
                </c:pt>
                <c:pt idx="118">
                  <c:v>46010</c:v>
                </c:pt>
                <c:pt idx="119">
                  <c:v>46013</c:v>
                </c:pt>
                <c:pt idx="120">
                  <c:v>46014</c:v>
                </c:pt>
                <c:pt idx="121">
                  <c:v>46015</c:v>
                </c:pt>
                <c:pt idx="122">
                  <c:v>46017</c:v>
                </c:pt>
                <c:pt idx="123">
                  <c:v>46020</c:v>
                </c:pt>
                <c:pt idx="124">
                  <c:v>46021</c:v>
                </c:pt>
                <c:pt idx="125">
                  <c:v>46022</c:v>
                </c:pt>
                <c:pt idx="126">
                  <c:v>46023</c:v>
                </c:pt>
                <c:pt idx="127">
                  <c:v>46024</c:v>
                </c:pt>
                <c:pt idx="128">
                  <c:v>46027</c:v>
                </c:pt>
                <c:pt idx="129">
                  <c:v>46028</c:v>
                </c:pt>
                <c:pt idx="130">
                  <c:v>46029</c:v>
                </c:pt>
                <c:pt idx="131">
                  <c:v>46030</c:v>
                </c:pt>
                <c:pt idx="132">
                  <c:v>46031</c:v>
                </c:pt>
                <c:pt idx="133">
                  <c:v>46034</c:v>
                </c:pt>
                <c:pt idx="134">
                  <c:v>46035</c:v>
                </c:pt>
                <c:pt idx="135">
                  <c:v>46036</c:v>
                </c:pt>
                <c:pt idx="136">
                  <c:v>46038</c:v>
                </c:pt>
                <c:pt idx="137">
                  <c:v>46041</c:v>
                </c:pt>
                <c:pt idx="138">
                  <c:v>46042</c:v>
                </c:pt>
                <c:pt idx="139">
                  <c:v>46043</c:v>
                </c:pt>
                <c:pt idx="140">
                  <c:v>46044</c:v>
                </c:pt>
                <c:pt idx="141">
                  <c:v>46045</c:v>
                </c:pt>
                <c:pt idx="142">
                  <c:v>46049</c:v>
                </c:pt>
                <c:pt idx="143">
                  <c:v>46050</c:v>
                </c:pt>
                <c:pt idx="144">
                  <c:v>46051</c:v>
                </c:pt>
                <c:pt idx="145">
                  <c:v>46052</c:v>
                </c:pt>
                <c:pt idx="146">
                  <c:v>46054</c:v>
                </c:pt>
                <c:pt idx="147">
                  <c:v>46055</c:v>
                </c:pt>
                <c:pt idx="148">
                  <c:v>46056</c:v>
                </c:pt>
                <c:pt idx="149">
                  <c:v>46057</c:v>
                </c:pt>
                <c:pt idx="150">
                  <c:v>46058</c:v>
                </c:pt>
                <c:pt idx="151">
                  <c:v>46059</c:v>
                </c:pt>
                <c:pt idx="152">
                  <c:v>46062</c:v>
                </c:pt>
                <c:pt idx="153">
                  <c:v>46063</c:v>
                </c:pt>
                <c:pt idx="154">
                  <c:v>46064</c:v>
                </c:pt>
                <c:pt idx="155">
                  <c:v>46065</c:v>
                </c:pt>
                <c:pt idx="156">
                  <c:v>46066</c:v>
                </c:pt>
                <c:pt idx="157">
                  <c:v>46069</c:v>
                </c:pt>
                <c:pt idx="158">
                  <c:v>46070</c:v>
                </c:pt>
                <c:pt idx="159">
                  <c:v>46071</c:v>
                </c:pt>
              </c:numCache>
            </c:numRef>
          </c:cat>
          <c:val>
            <c:numRef>
              <c:f>Analysis!$B$2:$B$162</c:f>
              <c:numCache>
                <c:formatCode>General</c:formatCode>
                <c:ptCount val="161"/>
                <c:pt idx="0">
                  <c:v>57459.45</c:v>
                </c:pt>
                <c:pt idx="1">
                  <c:v>56999.199999999997</c:v>
                </c:pt>
                <c:pt idx="2">
                  <c:v>56791.95</c:v>
                </c:pt>
                <c:pt idx="3">
                  <c:v>57031.9</c:v>
                </c:pt>
                <c:pt idx="4">
                  <c:v>56949.2</c:v>
                </c:pt>
                <c:pt idx="5">
                  <c:v>57256.3</c:v>
                </c:pt>
                <c:pt idx="6">
                  <c:v>57213.55</c:v>
                </c:pt>
                <c:pt idx="7">
                  <c:v>56956</c:v>
                </c:pt>
                <c:pt idx="8">
                  <c:v>56754.7</c:v>
                </c:pt>
                <c:pt idx="9">
                  <c:v>56765.35</c:v>
                </c:pt>
                <c:pt idx="10">
                  <c:v>57006.65</c:v>
                </c:pt>
                <c:pt idx="11">
                  <c:v>57168.95</c:v>
                </c:pt>
                <c:pt idx="12">
                  <c:v>56828.800000000003</c:v>
                </c:pt>
                <c:pt idx="13">
                  <c:v>56283</c:v>
                </c:pt>
                <c:pt idx="14">
                  <c:v>56952.75</c:v>
                </c:pt>
                <c:pt idx="15">
                  <c:v>56756</c:v>
                </c:pt>
                <c:pt idx="16">
                  <c:v>57210.45</c:v>
                </c:pt>
                <c:pt idx="17">
                  <c:v>57066.05</c:v>
                </c:pt>
                <c:pt idx="18">
                  <c:v>56528.9</c:v>
                </c:pt>
                <c:pt idx="19">
                  <c:v>56084.9</c:v>
                </c:pt>
                <c:pt idx="20">
                  <c:v>56222</c:v>
                </c:pt>
                <c:pt idx="21">
                  <c:v>56150.7</c:v>
                </c:pt>
                <c:pt idx="22">
                  <c:v>55961.95</c:v>
                </c:pt>
                <c:pt idx="23">
                  <c:v>55617.599999999999</c:v>
                </c:pt>
                <c:pt idx="24">
                  <c:v>55619.35</c:v>
                </c:pt>
                <c:pt idx="25">
                  <c:v>55360.25</c:v>
                </c:pt>
                <c:pt idx="26">
                  <c:v>55411.15</c:v>
                </c:pt>
                <c:pt idx="27">
                  <c:v>55521.15</c:v>
                </c:pt>
                <c:pt idx="28">
                  <c:v>55004.9</c:v>
                </c:pt>
                <c:pt idx="29">
                  <c:v>55510.75</c:v>
                </c:pt>
                <c:pt idx="30">
                  <c:v>55043.7</c:v>
                </c:pt>
                <c:pt idx="31">
                  <c:v>55181.45</c:v>
                </c:pt>
                <c:pt idx="32">
                  <c:v>55341.85</c:v>
                </c:pt>
                <c:pt idx="33">
                  <c:v>55734.9</c:v>
                </c:pt>
                <c:pt idx="34">
                  <c:v>55865.15</c:v>
                </c:pt>
                <c:pt idx="35">
                  <c:v>55698.5</c:v>
                </c:pt>
                <c:pt idx="36">
                  <c:v>55755.45</c:v>
                </c:pt>
                <c:pt idx="37">
                  <c:v>55149.4</c:v>
                </c:pt>
                <c:pt idx="38">
                  <c:v>55139.3</c:v>
                </c:pt>
                <c:pt idx="39">
                  <c:v>54450.45</c:v>
                </c:pt>
                <c:pt idx="40">
                  <c:v>53820.35</c:v>
                </c:pt>
                <c:pt idx="41">
                  <c:v>53655.65</c:v>
                </c:pt>
                <c:pt idx="42">
                  <c:v>54002.45</c:v>
                </c:pt>
                <c:pt idx="43">
                  <c:v>53661</c:v>
                </c:pt>
                <c:pt idx="44">
                  <c:v>54067.55</c:v>
                </c:pt>
                <c:pt idx="45">
                  <c:v>54075.45</c:v>
                </c:pt>
                <c:pt idx="46">
                  <c:v>54114.55</c:v>
                </c:pt>
                <c:pt idx="47">
                  <c:v>54186.9</c:v>
                </c:pt>
                <c:pt idx="48">
                  <c:v>54216.1</c:v>
                </c:pt>
                <c:pt idx="49">
                  <c:v>54536</c:v>
                </c:pt>
                <c:pt idx="50">
                  <c:v>54669.599999999999</c:v>
                </c:pt>
                <c:pt idx="51">
                  <c:v>54809.3</c:v>
                </c:pt>
                <c:pt idx="52">
                  <c:v>54887.85</c:v>
                </c:pt>
                <c:pt idx="53">
                  <c:v>55147.6</c:v>
                </c:pt>
                <c:pt idx="54">
                  <c:v>55493.3</c:v>
                </c:pt>
                <c:pt idx="55">
                  <c:v>55727.45</c:v>
                </c:pt>
                <c:pt idx="56">
                  <c:v>55458.85</c:v>
                </c:pt>
                <c:pt idx="57">
                  <c:v>55284.75</c:v>
                </c:pt>
                <c:pt idx="58">
                  <c:v>55509.75</c:v>
                </c:pt>
                <c:pt idx="59">
                  <c:v>55121.5</c:v>
                </c:pt>
                <c:pt idx="60">
                  <c:v>54976.2</c:v>
                </c:pt>
                <c:pt idx="61">
                  <c:v>54389.35</c:v>
                </c:pt>
                <c:pt idx="62">
                  <c:v>54461</c:v>
                </c:pt>
                <c:pt idx="63">
                  <c:v>54635.85</c:v>
                </c:pt>
                <c:pt idx="64">
                  <c:v>55347.95</c:v>
                </c:pt>
                <c:pt idx="65">
                  <c:v>55589.25</c:v>
                </c:pt>
                <c:pt idx="66">
                  <c:v>56104.85</c:v>
                </c:pt>
                <c:pt idx="67">
                  <c:v>56239.35</c:v>
                </c:pt>
                <c:pt idx="68">
                  <c:v>56018.25</c:v>
                </c:pt>
                <c:pt idx="69">
                  <c:v>56192.05</c:v>
                </c:pt>
                <c:pt idx="70">
                  <c:v>56609.75</c:v>
                </c:pt>
                <c:pt idx="71">
                  <c:v>56625</c:v>
                </c:pt>
                <c:pt idx="72">
                  <c:v>56496.45</c:v>
                </c:pt>
                <c:pt idx="73">
                  <c:v>56799.9</c:v>
                </c:pt>
                <c:pt idx="74">
                  <c:v>57422.55</c:v>
                </c:pt>
                <c:pt idx="75">
                  <c:v>57713.35</c:v>
                </c:pt>
                <c:pt idx="76">
                  <c:v>58033.2</c:v>
                </c:pt>
                <c:pt idx="77">
                  <c:v>58007.199999999997</c:v>
                </c:pt>
                <c:pt idx="78">
                  <c:v>58078.05</c:v>
                </c:pt>
                <c:pt idx="79">
                  <c:v>57699.6</c:v>
                </c:pt>
                <c:pt idx="80">
                  <c:v>58114.25</c:v>
                </c:pt>
                <c:pt idx="81">
                  <c:v>58214.1</c:v>
                </c:pt>
                <c:pt idx="82">
                  <c:v>58385.25</c:v>
                </c:pt>
                <c:pt idx="83">
                  <c:v>58031.1</c:v>
                </c:pt>
                <c:pt idx="84">
                  <c:v>57776.35</c:v>
                </c:pt>
                <c:pt idx="85">
                  <c:v>58101.45</c:v>
                </c:pt>
                <c:pt idx="86">
                  <c:v>57827.05</c:v>
                </c:pt>
                <c:pt idx="87">
                  <c:v>57554.25</c:v>
                </c:pt>
                <c:pt idx="88">
                  <c:v>57876.800000000003</c:v>
                </c:pt>
                <c:pt idx="89">
                  <c:v>57937.55</c:v>
                </c:pt>
                <c:pt idx="90">
                  <c:v>58138.15</c:v>
                </c:pt>
                <c:pt idx="91">
                  <c:v>58274.65</c:v>
                </c:pt>
                <c:pt idx="92">
                  <c:v>58381.95</c:v>
                </c:pt>
                <c:pt idx="93">
                  <c:v>58517.55</c:v>
                </c:pt>
                <c:pt idx="94">
                  <c:v>58962.7</c:v>
                </c:pt>
                <c:pt idx="95">
                  <c:v>58899.25</c:v>
                </c:pt>
                <c:pt idx="96">
                  <c:v>59216.05</c:v>
                </c:pt>
                <c:pt idx="97">
                  <c:v>59347.7</c:v>
                </c:pt>
                <c:pt idx="98">
                  <c:v>58867.7</c:v>
                </c:pt>
                <c:pt idx="99">
                  <c:v>58835.35</c:v>
                </c:pt>
                <c:pt idx="100">
                  <c:v>58820.3</c:v>
                </c:pt>
                <c:pt idx="101">
                  <c:v>59528.05</c:v>
                </c:pt>
                <c:pt idx="102">
                  <c:v>59737.3</c:v>
                </c:pt>
                <c:pt idx="103">
                  <c:v>59752.7</c:v>
                </c:pt>
                <c:pt idx="104">
                  <c:v>59681.35</c:v>
                </c:pt>
                <c:pt idx="105">
                  <c:v>59273.8</c:v>
                </c:pt>
                <c:pt idx="106">
                  <c:v>59348.25</c:v>
                </c:pt>
                <c:pt idx="107">
                  <c:v>59288.7</c:v>
                </c:pt>
                <c:pt idx="108">
                  <c:v>59777.2</c:v>
                </c:pt>
                <c:pt idx="109">
                  <c:v>59238.55</c:v>
                </c:pt>
                <c:pt idx="110">
                  <c:v>59222.35</c:v>
                </c:pt>
                <c:pt idx="111">
                  <c:v>58960.4</c:v>
                </c:pt>
                <c:pt idx="112">
                  <c:v>59209.85</c:v>
                </c:pt>
                <c:pt idx="113">
                  <c:v>59389.95</c:v>
                </c:pt>
                <c:pt idx="114">
                  <c:v>59461.8</c:v>
                </c:pt>
                <c:pt idx="115">
                  <c:v>59034.6</c:v>
                </c:pt>
                <c:pt idx="116">
                  <c:v>58926.75</c:v>
                </c:pt>
                <c:pt idx="117">
                  <c:v>58912.85</c:v>
                </c:pt>
                <c:pt idx="118">
                  <c:v>59069.2</c:v>
                </c:pt>
                <c:pt idx="119">
                  <c:v>59304</c:v>
                </c:pt>
                <c:pt idx="120">
                  <c:v>59299.55</c:v>
                </c:pt>
                <c:pt idx="121">
                  <c:v>59183.6</c:v>
                </c:pt>
                <c:pt idx="122">
                  <c:v>59011.35</c:v>
                </c:pt>
                <c:pt idx="123">
                  <c:v>58932.35</c:v>
                </c:pt>
                <c:pt idx="124">
                  <c:v>59171.25</c:v>
                </c:pt>
                <c:pt idx="125">
                  <c:v>59581.85</c:v>
                </c:pt>
                <c:pt idx="126">
                  <c:v>59711.55</c:v>
                </c:pt>
                <c:pt idx="127">
                  <c:v>60150.95</c:v>
                </c:pt>
                <c:pt idx="128">
                  <c:v>60044.2</c:v>
                </c:pt>
                <c:pt idx="129">
                  <c:v>60118.400000000001</c:v>
                </c:pt>
                <c:pt idx="130">
                  <c:v>59990.85</c:v>
                </c:pt>
                <c:pt idx="131">
                  <c:v>59686.5</c:v>
                </c:pt>
                <c:pt idx="132">
                  <c:v>59251.55</c:v>
                </c:pt>
                <c:pt idx="133">
                  <c:v>59450.5</c:v>
                </c:pt>
                <c:pt idx="134">
                  <c:v>59578.8</c:v>
                </c:pt>
                <c:pt idx="135">
                  <c:v>59580.15</c:v>
                </c:pt>
                <c:pt idx="136">
                  <c:v>60095.15</c:v>
                </c:pt>
                <c:pt idx="137">
                  <c:v>59891.35</c:v>
                </c:pt>
                <c:pt idx="138">
                  <c:v>59404.2</c:v>
                </c:pt>
                <c:pt idx="139">
                  <c:v>58800.3</c:v>
                </c:pt>
                <c:pt idx="140">
                  <c:v>59200.1</c:v>
                </c:pt>
                <c:pt idx="141">
                  <c:v>58473.1</c:v>
                </c:pt>
                <c:pt idx="142">
                  <c:v>59205.45</c:v>
                </c:pt>
                <c:pt idx="143">
                  <c:v>59598.8</c:v>
                </c:pt>
                <c:pt idx="144">
                  <c:v>59957.85</c:v>
                </c:pt>
                <c:pt idx="145">
                  <c:v>59610.45</c:v>
                </c:pt>
                <c:pt idx="146">
                  <c:v>58417.2</c:v>
                </c:pt>
                <c:pt idx="147">
                  <c:v>58619</c:v>
                </c:pt>
                <c:pt idx="148">
                  <c:v>60041.3</c:v>
                </c:pt>
                <c:pt idx="149">
                  <c:v>60238.15</c:v>
                </c:pt>
                <c:pt idx="150">
                  <c:v>60063.65</c:v>
                </c:pt>
                <c:pt idx="151">
                  <c:v>60120.55</c:v>
                </c:pt>
                <c:pt idx="152">
                  <c:v>60669.35</c:v>
                </c:pt>
                <c:pt idx="153">
                  <c:v>60626.400000000001</c:v>
                </c:pt>
                <c:pt idx="154">
                  <c:v>60745.35</c:v>
                </c:pt>
                <c:pt idx="155">
                  <c:v>60739.75</c:v>
                </c:pt>
                <c:pt idx="156">
                  <c:v>60186.65</c:v>
                </c:pt>
                <c:pt idx="157">
                  <c:v>60949.1</c:v>
                </c:pt>
                <c:pt idx="158">
                  <c:v>61174</c:v>
                </c:pt>
                <c:pt idx="159">
                  <c:v>61550.8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A-4C26-B831-A7CE7CD89638}"/>
            </c:ext>
          </c:extLst>
        </c:ser>
        <c:ser>
          <c:idx val="1"/>
          <c:order val="1"/>
          <c:tx>
            <c:strRef>
              <c:f>Analysis!$G$1</c:f>
              <c:strCache>
                <c:ptCount val="1"/>
                <c:pt idx="0">
                  <c:v>MA_20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Analysis!$A$2:$A$162</c:f>
              <c:numCache>
                <c:formatCode>m/d/yyyy</c:formatCode>
                <c:ptCount val="16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45887</c:v>
                </c:pt>
                <c:pt idx="34">
                  <c:v>45888</c:v>
                </c:pt>
                <c:pt idx="35">
                  <c:v>45889</c:v>
                </c:pt>
                <c:pt idx="36">
                  <c:v>45890</c:v>
                </c:pt>
                <c:pt idx="37">
                  <c:v>45891</c:v>
                </c:pt>
                <c:pt idx="38">
                  <c:v>45894</c:v>
                </c:pt>
                <c:pt idx="39">
                  <c:v>45895</c:v>
                </c:pt>
                <c:pt idx="40">
                  <c:v>45897</c:v>
                </c:pt>
                <c:pt idx="41">
                  <c:v>45898</c:v>
                </c:pt>
                <c:pt idx="42">
                  <c:v>45901</c:v>
                </c:pt>
                <c:pt idx="43">
                  <c:v>45902</c:v>
                </c:pt>
                <c:pt idx="44">
                  <c:v>45903</c:v>
                </c:pt>
                <c:pt idx="45">
                  <c:v>45904</c:v>
                </c:pt>
                <c:pt idx="46">
                  <c:v>45905</c:v>
                </c:pt>
                <c:pt idx="47">
                  <c:v>45908</c:v>
                </c:pt>
                <c:pt idx="48">
                  <c:v>45909</c:v>
                </c:pt>
                <c:pt idx="49">
                  <c:v>45910</c:v>
                </c:pt>
                <c:pt idx="50">
                  <c:v>45911</c:v>
                </c:pt>
                <c:pt idx="51">
                  <c:v>45912</c:v>
                </c:pt>
                <c:pt idx="52">
                  <c:v>45915</c:v>
                </c:pt>
                <c:pt idx="53">
                  <c:v>45916</c:v>
                </c:pt>
                <c:pt idx="54">
                  <c:v>45917</c:v>
                </c:pt>
                <c:pt idx="55">
                  <c:v>45918</c:v>
                </c:pt>
                <c:pt idx="56">
                  <c:v>45919</c:v>
                </c:pt>
                <c:pt idx="57">
                  <c:v>45922</c:v>
                </c:pt>
                <c:pt idx="58">
                  <c:v>45923</c:v>
                </c:pt>
                <c:pt idx="59">
                  <c:v>45924</c:v>
                </c:pt>
                <c:pt idx="60">
                  <c:v>45925</c:v>
                </c:pt>
                <c:pt idx="61">
                  <c:v>45926</c:v>
                </c:pt>
                <c:pt idx="62">
                  <c:v>45929</c:v>
                </c:pt>
                <c:pt idx="63">
                  <c:v>45930</c:v>
                </c:pt>
                <c:pt idx="64">
                  <c:v>45931</c:v>
                </c:pt>
                <c:pt idx="65">
                  <c:v>45933</c:v>
                </c:pt>
                <c:pt idx="66">
                  <c:v>45936</c:v>
                </c:pt>
                <c:pt idx="67">
                  <c:v>45937</c:v>
                </c:pt>
                <c:pt idx="68">
                  <c:v>45938</c:v>
                </c:pt>
                <c:pt idx="69">
                  <c:v>45939</c:v>
                </c:pt>
                <c:pt idx="70">
                  <c:v>45940</c:v>
                </c:pt>
                <c:pt idx="71">
                  <c:v>45943</c:v>
                </c:pt>
                <c:pt idx="72">
                  <c:v>45944</c:v>
                </c:pt>
                <c:pt idx="73">
                  <c:v>45945</c:v>
                </c:pt>
                <c:pt idx="74">
                  <c:v>45946</c:v>
                </c:pt>
                <c:pt idx="75">
                  <c:v>45947</c:v>
                </c:pt>
                <c:pt idx="76">
                  <c:v>45950</c:v>
                </c:pt>
                <c:pt idx="77">
                  <c:v>45951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45961</c:v>
                </c:pt>
                <c:pt idx="85">
                  <c:v>45964</c:v>
                </c:pt>
                <c:pt idx="86">
                  <c:v>45965</c:v>
                </c:pt>
                <c:pt idx="87">
                  <c:v>45967</c:v>
                </c:pt>
                <c:pt idx="88">
                  <c:v>45968</c:v>
                </c:pt>
                <c:pt idx="89">
                  <c:v>45971</c:v>
                </c:pt>
                <c:pt idx="90">
                  <c:v>45972</c:v>
                </c:pt>
                <c:pt idx="91">
                  <c:v>45973</c:v>
                </c:pt>
                <c:pt idx="92">
                  <c:v>45974</c:v>
                </c:pt>
                <c:pt idx="93">
                  <c:v>45975</c:v>
                </c:pt>
                <c:pt idx="94">
                  <c:v>45978</c:v>
                </c:pt>
                <c:pt idx="95">
                  <c:v>45979</c:v>
                </c:pt>
                <c:pt idx="96">
                  <c:v>45980</c:v>
                </c:pt>
                <c:pt idx="97">
                  <c:v>45981</c:v>
                </c:pt>
                <c:pt idx="98">
                  <c:v>45982</c:v>
                </c:pt>
                <c:pt idx="99">
                  <c:v>45985</c:v>
                </c:pt>
                <c:pt idx="100">
                  <c:v>45986</c:v>
                </c:pt>
                <c:pt idx="101">
                  <c:v>45987</c:v>
                </c:pt>
                <c:pt idx="102">
                  <c:v>45988</c:v>
                </c:pt>
                <c:pt idx="103">
                  <c:v>45989</c:v>
                </c:pt>
                <c:pt idx="104">
                  <c:v>45992</c:v>
                </c:pt>
                <c:pt idx="105">
                  <c:v>45993</c:v>
                </c:pt>
                <c:pt idx="106">
                  <c:v>45994</c:v>
                </c:pt>
                <c:pt idx="107">
                  <c:v>45995</c:v>
                </c:pt>
                <c:pt idx="108">
                  <c:v>45996</c:v>
                </c:pt>
                <c:pt idx="109">
                  <c:v>45999</c:v>
                </c:pt>
                <c:pt idx="110">
                  <c:v>46000</c:v>
                </c:pt>
                <c:pt idx="111">
                  <c:v>46001</c:v>
                </c:pt>
                <c:pt idx="112">
                  <c:v>46002</c:v>
                </c:pt>
                <c:pt idx="113">
                  <c:v>46003</c:v>
                </c:pt>
                <c:pt idx="114">
                  <c:v>46006</c:v>
                </c:pt>
                <c:pt idx="115">
                  <c:v>46007</c:v>
                </c:pt>
                <c:pt idx="116">
                  <c:v>46008</c:v>
                </c:pt>
                <c:pt idx="117">
                  <c:v>46009</c:v>
                </c:pt>
                <c:pt idx="118">
                  <c:v>46010</c:v>
                </c:pt>
                <c:pt idx="119">
                  <c:v>46013</c:v>
                </c:pt>
                <c:pt idx="120">
                  <c:v>46014</c:v>
                </c:pt>
                <c:pt idx="121">
                  <c:v>46015</c:v>
                </c:pt>
                <c:pt idx="122">
                  <c:v>46017</c:v>
                </c:pt>
                <c:pt idx="123">
                  <c:v>46020</c:v>
                </c:pt>
                <c:pt idx="124">
                  <c:v>46021</c:v>
                </c:pt>
                <c:pt idx="125">
                  <c:v>46022</c:v>
                </c:pt>
                <c:pt idx="126">
                  <c:v>46023</c:v>
                </c:pt>
                <c:pt idx="127">
                  <c:v>46024</c:v>
                </c:pt>
                <c:pt idx="128">
                  <c:v>46027</c:v>
                </c:pt>
                <c:pt idx="129">
                  <c:v>46028</c:v>
                </c:pt>
                <c:pt idx="130">
                  <c:v>46029</c:v>
                </c:pt>
                <c:pt idx="131">
                  <c:v>46030</c:v>
                </c:pt>
                <c:pt idx="132">
                  <c:v>46031</c:v>
                </c:pt>
                <c:pt idx="133">
                  <c:v>46034</c:v>
                </c:pt>
                <c:pt idx="134">
                  <c:v>46035</c:v>
                </c:pt>
                <c:pt idx="135">
                  <c:v>46036</c:v>
                </c:pt>
                <c:pt idx="136">
                  <c:v>46038</c:v>
                </c:pt>
                <c:pt idx="137">
                  <c:v>46041</c:v>
                </c:pt>
                <c:pt idx="138">
                  <c:v>46042</c:v>
                </c:pt>
                <c:pt idx="139">
                  <c:v>46043</c:v>
                </c:pt>
                <c:pt idx="140">
                  <c:v>46044</c:v>
                </c:pt>
                <c:pt idx="141">
                  <c:v>46045</c:v>
                </c:pt>
                <c:pt idx="142">
                  <c:v>46049</c:v>
                </c:pt>
                <c:pt idx="143">
                  <c:v>46050</c:v>
                </c:pt>
                <c:pt idx="144">
                  <c:v>46051</c:v>
                </c:pt>
                <c:pt idx="145">
                  <c:v>46052</c:v>
                </c:pt>
                <c:pt idx="146">
                  <c:v>46054</c:v>
                </c:pt>
                <c:pt idx="147">
                  <c:v>46055</c:v>
                </c:pt>
                <c:pt idx="148">
                  <c:v>46056</c:v>
                </c:pt>
                <c:pt idx="149">
                  <c:v>46057</c:v>
                </c:pt>
                <c:pt idx="150">
                  <c:v>46058</c:v>
                </c:pt>
                <c:pt idx="151">
                  <c:v>46059</c:v>
                </c:pt>
                <c:pt idx="152">
                  <c:v>46062</c:v>
                </c:pt>
                <c:pt idx="153">
                  <c:v>46063</c:v>
                </c:pt>
                <c:pt idx="154">
                  <c:v>46064</c:v>
                </c:pt>
                <c:pt idx="155">
                  <c:v>46065</c:v>
                </c:pt>
                <c:pt idx="156">
                  <c:v>46066</c:v>
                </c:pt>
                <c:pt idx="157">
                  <c:v>46069</c:v>
                </c:pt>
                <c:pt idx="158">
                  <c:v>46070</c:v>
                </c:pt>
                <c:pt idx="159">
                  <c:v>46071</c:v>
                </c:pt>
              </c:numCache>
            </c:numRef>
          </c:cat>
          <c:val>
            <c:numRef>
              <c:f>Analysis!$G$2:$G$162</c:f>
              <c:numCache>
                <c:formatCode>General</c:formatCode>
                <c:ptCount val="161"/>
                <c:pt idx="19">
                  <c:v>56903.202499999992</c:v>
                </c:pt>
                <c:pt idx="20">
                  <c:v>56841.329999999994</c:v>
                </c:pt>
                <c:pt idx="21">
                  <c:v>56798.904999999992</c:v>
                </c:pt>
                <c:pt idx="22">
                  <c:v>56757.405000000006</c:v>
                </c:pt>
                <c:pt idx="23">
                  <c:v>56686.69</c:v>
                </c:pt>
                <c:pt idx="24">
                  <c:v>56620.197500000009</c:v>
                </c:pt>
                <c:pt idx="25">
                  <c:v>56525.394999999997</c:v>
                </c:pt>
                <c:pt idx="26">
                  <c:v>56435.274999999987</c:v>
                </c:pt>
                <c:pt idx="27">
                  <c:v>56363.532499999987</c:v>
                </c:pt>
                <c:pt idx="28">
                  <c:v>56276.042499999996</c:v>
                </c:pt>
                <c:pt idx="29">
                  <c:v>56213.3125</c:v>
                </c:pt>
                <c:pt idx="30">
                  <c:v>56115.165000000001</c:v>
                </c:pt>
                <c:pt idx="31">
                  <c:v>56015.79</c:v>
                </c:pt>
                <c:pt idx="32">
                  <c:v>55941.442500000005</c:v>
                </c:pt>
                <c:pt idx="33">
                  <c:v>55914.037499999999</c:v>
                </c:pt>
                <c:pt idx="34">
                  <c:v>55859.657499999994</c:v>
                </c:pt>
                <c:pt idx="35">
                  <c:v>55806.782499999994</c:v>
                </c:pt>
                <c:pt idx="36">
                  <c:v>55734.032499999994</c:v>
                </c:pt>
                <c:pt idx="37">
                  <c:v>55638.19999999999</c:v>
                </c:pt>
                <c:pt idx="38">
                  <c:v>55568.719999999994</c:v>
                </c:pt>
                <c:pt idx="39">
                  <c:v>55486.997499999998</c:v>
                </c:pt>
                <c:pt idx="40">
                  <c:v>55366.915000000001</c:v>
                </c:pt>
                <c:pt idx="41">
                  <c:v>55242.162499999999</c:v>
                </c:pt>
                <c:pt idx="42">
                  <c:v>55144.1875</c:v>
                </c:pt>
                <c:pt idx="43">
                  <c:v>55046.357499999998</c:v>
                </c:pt>
                <c:pt idx="44">
                  <c:v>54968.767499999994</c:v>
                </c:pt>
                <c:pt idx="45">
                  <c:v>54904.527500000004</c:v>
                </c:pt>
                <c:pt idx="46">
                  <c:v>54839.697499999995</c:v>
                </c:pt>
                <c:pt idx="47">
                  <c:v>54772.985000000001</c:v>
                </c:pt>
                <c:pt idx="48">
                  <c:v>54733.545000000006</c:v>
                </c:pt>
                <c:pt idx="49">
                  <c:v>54684.807499999995</c:v>
                </c:pt>
                <c:pt idx="50">
                  <c:v>54666.102500000001</c:v>
                </c:pt>
                <c:pt idx="51">
                  <c:v>54647.494999999995</c:v>
                </c:pt>
                <c:pt idx="52">
                  <c:v>54624.795000000006</c:v>
                </c:pt>
                <c:pt idx="53">
                  <c:v>54595.430000000008</c:v>
                </c:pt>
                <c:pt idx="54">
                  <c:v>54576.837500000001</c:v>
                </c:pt>
                <c:pt idx="55">
                  <c:v>54578.285000000011</c:v>
                </c:pt>
                <c:pt idx="56">
                  <c:v>54563.455000000002</c:v>
                </c:pt>
                <c:pt idx="57">
                  <c:v>54570.222499999996</c:v>
                </c:pt>
                <c:pt idx="58">
                  <c:v>54588.744999999995</c:v>
                </c:pt>
                <c:pt idx="59">
                  <c:v>54622.297500000001</c:v>
                </c:pt>
                <c:pt idx="60">
                  <c:v>54680.090000000004</c:v>
                </c:pt>
                <c:pt idx="61">
                  <c:v>54716.775000000001</c:v>
                </c:pt>
                <c:pt idx="62">
                  <c:v>54739.702499999992</c:v>
                </c:pt>
                <c:pt idx="63">
                  <c:v>54788.444999999992</c:v>
                </c:pt>
                <c:pt idx="64">
                  <c:v>54852.464999999989</c:v>
                </c:pt>
                <c:pt idx="65">
                  <c:v>54928.154999999984</c:v>
                </c:pt>
                <c:pt idx="66">
                  <c:v>55027.67</c:v>
                </c:pt>
                <c:pt idx="67">
                  <c:v>55130.292499999996</c:v>
                </c:pt>
                <c:pt idx="68">
                  <c:v>55220.399999999987</c:v>
                </c:pt>
                <c:pt idx="69">
                  <c:v>55303.202499999992</c:v>
                </c:pt>
                <c:pt idx="70">
                  <c:v>55400.209999999985</c:v>
                </c:pt>
                <c:pt idx="71">
                  <c:v>55490.994999999995</c:v>
                </c:pt>
                <c:pt idx="72">
                  <c:v>55571.424999999988</c:v>
                </c:pt>
                <c:pt idx="73">
                  <c:v>55654.039999999994</c:v>
                </c:pt>
                <c:pt idx="74">
                  <c:v>55750.502499999988</c:v>
                </c:pt>
                <c:pt idx="75">
                  <c:v>55849.797500000001</c:v>
                </c:pt>
                <c:pt idx="76">
                  <c:v>55978.514999999999</c:v>
                </c:pt>
                <c:pt idx="77">
                  <c:v>56114.637499999997</c:v>
                </c:pt>
                <c:pt idx="78">
                  <c:v>56243.052500000005</c:v>
                </c:pt>
                <c:pt idx="79">
                  <c:v>56371.957499999997</c:v>
                </c:pt>
                <c:pt idx="80">
                  <c:v>56528.86</c:v>
                </c:pt>
                <c:pt idx="81">
                  <c:v>56720.097499999996</c:v>
                </c:pt>
                <c:pt idx="82">
                  <c:v>56916.31</c:v>
                </c:pt>
                <c:pt idx="83">
                  <c:v>57086.072500000009</c:v>
                </c:pt>
                <c:pt idx="84">
                  <c:v>57207.492500000008</c:v>
                </c:pt>
                <c:pt idx="85">
                  <c:v>57333.102499999994</c:v>
                </c:pt>
                <c:pt idx="86">
                  <c:v>57419.212500000001</c:v>
                </c:pt>
                <c:pt idx="87">
                  <c:v>57484.957499999997</c:v>
                </c:pt>
                <c:pt idx="88">
                  <c:v>57577.884999999995</c:v>
                </c:pt>
                <c:pt idx="89">
                  <c:v>57665.159999999996</c:v>
                </c:pt>
                <c:pt idx="90">
                  <c:v>57741.579999999994</c:v>
                </c:pt>
                <c:pt idx="91">
                  <c:v>57824.0625</c:v>
                </c:pt>
                <c:pt idx="92">
                  <c:v>57918.337500000001</c:v>
                </c:pt>
                <c:pt idx="93">
                  <c:v>58004.220000000008</c:v>
                </c:pt>
                <c:pt idx="94">
                  <c:v>58081.227500000001</c:v>
                </c:pt>
                <c:pt idx="95">
                  <c:v>58140.522500000006</c:v>
                </c:pt>
                <c:pt idx="96">
                  <c:v>58199.665000000001</c:v>
                </c:pt>
                <c:pt idx="97">
                  <c:v>58266.69</c:v>
                </c:pt>
                <c:pt idx="98">
                  <c:v>58306.172500000001</c:v>
                </c:pt>
                <c:pt idx="99">
                  <c:v>58362.960000000006</c:v>
                </c:pt>
                <c:pt idx="100">
                  <c:v>58398.262499999997</c:v>
                </c:pt>
                <c:pt idx="101">
                  <c:v>58463.96</c:v>
                </c:pt>
                <c:pt idx="102">
                  <c:v>58531.5625</c:v>
                </c:pt>
                <c:pt idx="103">
                  <c:v>58617.642499999994</c:v>
                </c:pt>
                <c:pt idx="104">
                  <c:v>58712.892500000002</c:v>
                </c:pt>
                <c:pt idx="105">
                  <c:v>58771.510000000024</c:v>
                </c:pt>
                <c:pt idx="106">
                  <c:v>58847.570000000007</c:v>
                </c:pt>
                <c:pt idx="107">
                  <c:v>58934.292499999996</c:v>
                </c:pt>
                <c:pt idx="108">
                  <c:v>59029.3125</c:v>
                </c:pt>
                <c:pt idx="109">
                  <c:v>59094.362500000003</c:v>
                </c:pt>
                <c:pt idx="110">
                  <c:v>59148.572500000009</c:v>
                </c:pt>
                <c:pt idx="111">
                  <c:v>59182.86</c:v>
                </c:pt>
                <c:pt idx="112">
                  <c:v>59224.255000000005</c:v>
                </c:pt>
                <c:pt idx="113">
                  <c:v>59267.875</c:v>
                </c:pt>
                <c:pt idx="114">
                  <c:v>59292.829999999994</c:v>
                </c:pt>
                <c:pt idx="115">
                  <c:v>59299.597500000011</c:v>
                </c:pt>
                <c:pt idx="116">
                  <c:v>59285.132499999992</c:v>
                </c:pt>
                <c:pt idx="117">
                  <c:v>59263.39</c:v>
                </c:pt>
                <c:pt idx="118">
                  <c:v>59273.465000000004</c:v>
                </c:pt>
                <c:pt idx="119">
                  <c:v>59296.897499999999</c:v>
                </c:pt>
                <c:pt idx="120">
                  <c:v>59320.86</c:v>
                </c:pt>
                <c:pt idx="121">
                  <c:v>59303.637500000012</c:v>
                </c:pt>
                <c:pt idx="122">
                  <c:v>59267.340000000004</c:v>
                </c:pt>
                <c:pt idx="123">
                  <c:v>59226.322500000009</c:v>
                </c:pt>
                <c:pt idx="124">
                  <c:v>59200.817500000005</c:v>
                </c:pt>
                <c:pt idx="125">
                  <c:v>59216.220000000008</c:v>
                </c:pt>
                <c:pt idx="126">
                  <c:v>59234.384999999995</c:v>
                </c:pt>
                <c:pt idx="127">
                  <c:v>59277.497499999998</c:v>
                </c:pt>
                <c:pt idx="128">
                  <c:v>59290.847499999989</c:v>
                </c:pt>
                <c:pt idx="129">
                  <c:v>59334.839999999989</c:v>
                </c:pt>
                <c:pt idx="130">
                  <c:v>59373.264999999992</c:v>
                </c:pt>
                <c:pt idx="131">
                  <c:v>59409.569999999992</c:v>
                </c:pt>
                <c:pt idx="132">
                  <c:v>59411.655000000006</c:v>
                </c:pt>
                <c:pt idx="133">
                  <c:v>59414.682499999995</c:v>
                </c:pt>
                <c:pt idx="134">
                  <c:v>59420.532499999994</c:v>
                </c:pt>
                <c:pt idx="135">
                  <c:v>59447.81</c:v>
                </c:pt>
                <c:pt idx="136">
                  <c:v>59506.229999999981</c:v>
                </c:pt>
                <c:pt idx="137">
                  <c:v>59555.154999999992</c:v>
                </c:pt>
                <c:pt idx="138">
                  <c:v>59571.905000000006</c:v>
                </c:pt>
                <c:pt idx="139">
                  <c:v>59546.720000000008</c:v>
                </c:pt>
                <c:pt idx="140">
                  <c:v>59541.747500000012</c:v>
                </c:pt>
                <c:pt idx="141">
                  <c:v>59506.222500000018</c:v>
                </c:pt>
                <c:pt idx="142">
                  <c:v>59515.927500000013</c:v>
                </c:pt>
                <c:pt idx="143">
                  <c:v>59549.250000000015</c:v>
                </c:pt>
                <c:pt idx="144">
                  <c:v>59588.58</c:v>
                </c:pt>
                <c:pt idx="145">
                  <c:v>59590.009999999995</c:v>
                </c:pt>
                <c:pt idx="146">
                  <c:v>59525.292499999996</c:v>
                </c:pt>
                <c:pt idx="147">
                  <c:v>59448.694999999992</c:v>
                </c:pt>
                <c:pt idx="148">
                  <c:v>59448.55</c:v>
                </c:pt>
                <c:pt idx="149">
                  <c:v>59454.537499999991</c:v>
                </c:pt>
                <c:pt idx="150">
                  <c:v>59458.177499999976</c:v>
                </c:pt>
                <c:pt idx="151">
                  <c:v>59479.87999999999</c:v>
                </c:pt>
                <c:pt idx="152">
                  <c:v>59550.770000000004</c:v>
                </c:pt>
                <c:pt idx="153">
                  <c:v>59609.565000000002</c:v>
                </c:pt>
                <c:pt idx="154">
                  <c:v>59667.892500000002</c:v>
                </c:pt>
                <c:pt idx="155">
                  <c:v>59725.872499999998</c:v>
                </c:pt>
                <c:pt idx="156">
                  <c:v>59730.447499999995</c:v>
                </c:pt>
                <c:pt idx="157">
                  <c:v>59783.335000000006</c:v>
                </c:pt>
                <c:pt idx="158">
                  <c:v>59871.825000000012</c:v>
                </c:pt>
                <c:pt idx="159">
                  <c:v>60009.350000000013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8A-4C26-B831-A7CE7CD89638}"/>
            </c:ext>
          </c:extLst>
        </c:ser>
        <c:ser>
          <c:idx val="2"/>
          <c:order val="2"/>
          <c:tx>
            <c:strRef>
              <c:f>Analysis!$H$1</c:f>
              <c:strCache>
                <c:ptCount val="1"/>
                <c:pt idx="0">
                  <c:v>MA_50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Analysis!$A$2:$A$162</c:f>
              <c:numCache>
                <c:formatCode>m/d/yyyy</c:formatCode>
                <c:ptCount val="16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45887</c:v>
                </c:pt>
                <c:pt idx="34">
                  <c:v>45888</c:v>
                </c:pt>
                <c:pt idx="35">
                  <c:v>45889</c:v>
                </c:pt>
                <c:pt idx="36">
                  <c:v>45890</c:v>
                </c:pt>
                <c:pt idx="37">
                  <c:v>45891</c:v>
                </c:pt>
                <c:pt idx="38">
                  <c:v>45894</c:v>
                </c:pt>
                <c:pt idx="39">
                  <c:v>45895</c:v>
                </c:pt>
                <c:pt idx="40">
                  <c:v>45897</c:v>
                </c:pt>
                <c:pt idx="41">
                  <c:v>45898</c:v>
                </c:pt>
                <c:pt idx="42">
                  <c:v>45901</c:v>
                </c:pt>
                <c:pt idx="43">
                  <c:v>45902</c:v>
                </c:pt>
                <c:pt idx="44">
                  <c:v>45903</c:v>
                </c:pt>
                <c:pt idx="45">
                  <c:v>45904</c:v>
                </c:pt>
                <c:pt idx="46">
                  <c:v>45905</c:v>
                </c:pt>
                <c:pt idx="47">
                  <c:v>45908</c:v>
                </c:pt>
                <c:pt idx="48">
                  <c:v>45909</c:v>
                </c:pt>
                <c:pt idx="49">
                  <c:v>45910</c:v>
                </c:pt>
                <c:pt idx="50">
                  <c:v>45911</c:v>
                </c:pt>
                <c:pt idx="51">
                  <c:v>45912</c:v>
                </c:pt>
                <c:pt idx="52">
                  <c:v>45915</c:v>
                </c:pt>
                <c:pt idx="53">
                  <c:v>45916</c:v>
                </c:pt>
                <c:pt idx="54">
                  <c:v>45917</c:v>
                </c:pt>
                <c:pt idx="55">
                  <c:v>45918</c:v>
                </c:pt>
                <c:pt idx="56">
                  <c:v>45919</c:v>
                </c:pt>
                <c:pt idx="57">
                  <c:v>45922</c:v>
                </c:pt>
                <c:pt idx="58">
                  <c:v>45923</c:v>
                </c:pt>
                <c:pt idx="59">
                  <c:v>45924</c:v>
                </c:pt>
                <c:pt idx="60">
                  <c:v>45925</c:v>
                </c:pt>
                <c:pt idx="61">
                  <c:v>45926</c:v>
                </c:pt>
                <c:pt idx="62">
                  <c:v>45929</c:v>
                </c:pt>
                <c:pt idx="63">
                  <c:v>45930</c:v>
                </c:pt>
                <c:pt idx="64">
                  <c:v>45931</c:v>
                </c:pt>
                <c:pt idx="65">
                  <c:v>45933</c:v>
                </c:pt>
                <c:pt idx="66">
                  <c:v>45936</c:v>
                </c:pt>
                <c:pt idx="67">
                  <c:v>45937</c:v>
                </c:pt>
                <c:pt idx="68">
                  <c:v>45938</c:v>
                </c:pt>
                <c:pt idx="69">
                  <c:v>45939</c:v>
                </c:pt>
                <c:pt idx="70">
                  <c:v>45940</c:v>
                </c:pt>
                <c:pt idx="71">
                  <c:v>45943</c:v>
                </c:pt>
                <c:pt idx="72">
                  <c:v>45944</c:v>
                </c:pt>
                <c:pt idx="73">
                  <c:v>45945</c:v>
                </c:pt>
                <c:pt idx="74">
                  <c:v>45946</c:v>
                </c:pt>
                <c:pt idx="75">
                  <c:v>45947</c:v>
                </c:pt>
                <c:pt idx="76">
                  <c:v>45950</c:v>
                </c:pt>
                <c:pt idx="77">
                  <c:v>45951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45961</c:v>
                </c:pt>
                <c:pt idx="85">
                  <c:v>45964</c:v>
                </c:pt>
                <c:pt idx="86">
                  <c:v>45965</c:v>
                </c:pt>
                <c:pt idx="87">
                  <c:v>45967</c:v>
                </c:pt>
                <c:pt idx="88">
                  <c:v>45968</c:v>
                </c:pt>
                <c:pt idx="89">
                  <c:v>45971</c:v>
                </c:pt>
                <c:pt idx="90">
                  <c:v>45972</c:v>
                </c:pt>
                <c:pt idx="91">
                  <c:v>45973</c:v>
                </c:pt>
                <c:pt idx="92">
                  <c:v>45974</c:v>
                </c:pt>
                <c:pt idx="93">
                  <c:v>45975</c:v>
                </c:pt>
                <c:pt idx="94">
                  <c:v>45978</c:v>
                </c:pt>
                <c:pt idx="95">
                  <c:v>45979</c:v>
                </c:pt>
                <c:pt idx="96">
                  <c:v>45980</c:v>
                </c:pt>
                <c:pt idx="97">
                  <c:v>45981</c:v>
                </c:pt>
                <c:pt idx="98">
                  <c:v>45982</c:v>
                </c:pt>
                <c:pt idx="99">
                  <c:v>45985</c:v>
                </c:pt>
                <c:pt idx="100">
                  <c:v>45986</c:v>
                </c:pt>
                <c:pt idx="101">
                  <c:v>45987</c:v>
                </c:pt>
                <c:pt idx="102">
                  <c:v>45988</c:v>
                </c:pt>
                <c:pt idx="103">
                  <c:v>45989</c:v>
                </c:pt>
                <c:pt idx="104">
                  <c:v>45992</c:v>
                </c:pt>
                <c:pt idx="105">
                  <c:v>45993</c:v>
                </c:pt>
                <c:pt idx="106">
                  <c:v>45994</c:v>
                </c:pt>
                <c:pt idx="107">
                  <c:v>45995</c:v>
                </c:pt>
                <c:pt idx="108">
                  <c:v>45996</c:v>
                </c:pt>
                <c:pt idx="109">
                  <c:v>45999</c:v>
                </c:pt>
                <c:pt idx="110">
                  <c:v>46000</c:v>
                </c:pt>
                <c:pt idx="111">
                  <c:v>46001</c:v>
                </c:pt>
                <c:pt idx="112">
                  <c:v>46002</c:v>
                </c:pt>
                <c:pt idx="113">
                  <c:v>46003</c:v>
                </c:pt>
                <c:pt idx="114">
                  <c:v>46006</c:v>
                </c:pt>
                <c:pt idx="115">
                  <c:v>46007</c:v>
                </c:pt>
                <c:pt idx="116">
                  <c:v>46008</c:v>
                </c:pt>
                <c:pt idx="117">
                  <c:v>46009</c:v>
                </c:pt>
                <c:pt idx="118">
                  <c:v>46010</c:v>
                </c:pt>
                <c:pt idx="119">
                  <c:v>46013</c:v>
                </c:pt>
                <c:pt idx="120">
                  <c:v>46014</c:v>
                </c:pt>
                <c:pt idx="121">
                  <c:v>46015</c:v>
                </c:pt>
                <c:pt idx="122">
                  <c:v>46017</c:v>
                </c:pt>
                <c:pt idx="123">
                  <c:v>46020</c:v>
                </c:pt>
                <c:pt idx="124">
                  <c:v>46021</c:v>
                </c:pt>
                <c:pt idx="125">
                  <c:v>46022</c:v>
                </c:pt>
                <c:pt idx="126">
                  <c:v>46023</c:v>
                </c:pt>
                <c:pt idx="127">
                  <c:v>46024</c:v>
                </c:pt>
                <c:pt idx="128">
                  <c:v>46027</c:v>
                </c:pt>
                <c:pt idx="129">
                  <c:v>46028</c:v>
                </c:pt>
                <c:pt idx="130">
                  <c:v>46029</c:v>
                </c:pt>
                <c:pt idx="131">
                  <c:v>46030</c:v>
                </c:pt>
                <c:pt idx="132">
                  <c:v>46031</c:v>
                </c:pt>
                <c:pt idx="133">
                  <c:v>46034</c:v>
                </c:pt>
                <c:pt idx="134">
                  <c:v>46035</c:v>
                </c:pt>
                <c:pt idx="135">
                  <c:v>46036</c:v>
                </c:pt>
                <c:pt idx="136">
                  <c:v>46038</c:v>
                </c:pt>
                <c:pt idx="137">
                  <c:v>46041</c:v>
                </c:pt>
                <c:pt idx="138">
                  <c:v>46042</c:v>
                </c:pt>
                <c:pt idx="139">
                  <c:v>46043</c:v>
                </c:pt>
                <c:pt idx="140">
                  <c:v>46044</c:v>
                </c:pt>
                <c:pt idx="141">
                  <c:v>46045</c:v>
                </c:pt>
                <c:pt idx="142">
                  <c:v>46049</c:v>
                </c:pt>
                <c:pt idx="143">
                  <c:v>46050</c:v>
                </c:pt>
                <c:pt idx="144">
                  <c:v>46051</c:v>
                </c:pt>
                <c:pt idx="145">
                  <c:v>46052</c:v>
                </c:pt>
                <c:pt idx="146">
                  <c:v>46054</c:v>
                </c:pt>
                <c:pt idx="147">
                  <c:v>46055</c:v>
                </c:pt>
                <c:pt idx="148">
                  <c:v>46056</c:v>
                </c:pt>
                <c:pt idx="149">
                  <c:v>46057</c:v>
                </c:pt>
                <c:pt idx="150">
                  <c:v>46058</c:v>
                </c:pt>
                <c:pt idx="151">
                  <c:v>46059</c:v>
                </c:pt>
                <c:pt idx="152">
                  <c:v>46062</c:v>
                </c:pt>
                <c:pt idx="153">
                  <c:v>46063</c:v>
                </c:pt>
                <c:pt idx="154">
                  <c:v>46064</c:v>
                </c:pt>
                <c:pt idx="155">
                  <c:v>46065</c:v>
                </c:pt>
                <c:pt idx="156">
                  <c:v>46066</c:v>
                </c:pt>
                <c:pt idx="157">
                  <c:v>46069</c:v>
                </c:pt>
                <c:pt idx="158">
                  <c:v>46070</c:v>
                </c:pt>
                <c:pt idx="159">
                  <c:v>46071</c:v>
                </c:pt>
              </c:numCache>
            </c:numRef>
          </c:cat>
          <c:val>
            <c:numRef>
              <c:f>Analysis!$H$2:$H$162</c:f>
              <c:numCache>
                <c:formatCode>General</c:formatCode>
                <c:ptCount val="161"/>
                <c:pt idx="49">
                  <c:v>55762.799999999988</c:v>
                </c:pt>
                <c:pt idx="50">
                  <c:v>55707.00299999999</c:v>
                </c:pt>
                <c:pt idx="51">
                  <c:v>55663.204999999987</c:v>
                </c:pt>
                <c:pt idx="52">
                  <c:v>55625.122999999992</c:v>
                </c:pt>
                <c:pt idx="53">
                  <c:v>55587.436999999991</c:v>
                </c:pt>
                <c:pt idx="54">
                  <c:v>55558.318999999989</c:v>
                </c:pt>
                <c:pt idx="55">
                  <c:v>55527.741999999984</c:v>
                </c:pt>
                <c:pt idx="56">
                  <c:v>55492.647999999986</c:v>
                </c:pt>
                <c:pt idx="57">
                  <c:v>55459.222999999991</c:v>
                </c:pt>
                <c:pt idx="58">
                  <c:v>55434.323999999993</c:v>
                </c:pt>
                <c:pt idx="59">
                  <c:v>55401.447</c:v>
                </c:pt>
                <c:pt idx="60">
                  <c:v>55360.837999999996</c:v>
                </c:pt>
                <c:pt idx="61">
                  <c:v>55305.246000000006</c:v>
                </c:pt>
                <c:pt idx="62">
                  <c:v>55257.89</c:v>
                </c:pt>
                <c:pt idx="63">
                  <c:v>55224.947000000015</c:v>
                </c:pt>
                <c:pt idx="64">
                  <c:v>55192.851000000017</c:v>
                </c:pt>
                <c:pt idx="65">
                  <c:v>55169.516000000018</c:v>
                </c:pt>
                <c:pt idx="66">
                  <c:v>55147.404000000024</c:v>
                </c:pt>
                <c:pt idx="67">
                  <c:v>55130.870000000017</c:v>
                </c:pt>
                <c:pt idx="68">
                  <c:v>55120.657000000021</c:v>
                </c:pt>
                <c:pt idx="69">
                  <c:v>55122.800000000017</c:v>
                </c:pt>
                <c:pt idx="70">
                  <c:v>55130.555000000022</c:v>
                </c:pt>
                <c:pt idx="71">
                  <c:v>55140.041000000012</c:v>
                </c:pt>
                <c:pt idx="72">
                  <c:v>55150.731000000014</c:v>
                </c:pt>
                <c:pt idx="73">
                  <c:v>55174.377000000008</c:v>
                </c:pt>
                <c:pt idx="74">
                  <c:v>55210.441000000006</c:v>
                </c:pt>
                <c:pt idx="75">
                  <c:v>55257.503000000019</c:v>
                </c:pt>
                <c:pt idx="76">
                  <c:v>55309.94400000001</c:v>
                </c:pt>
                <c:pt idx="77">
                  <c:v>55359.665000000015</c:v>
                </c:pt>
                <c:pt idx="78">
                  <c:v>55421.128000000019</c:v>
                </c:pt>
                <c:pt idx="79">
                  <c:v>55464.905000000006</c:v>
                </c:pt>
                <c:pt idx="80">
                  <c:v>55526.316000000013</c:v>
                </c:pt>
                <c:pt idx="81">
                  <c:v>55586.969000000019</c:v>
                </c:pt>
                <c:pt idx="82">
                  <c:v>55647.837000000021</c:v>
                </c:pt>
                <c:pt idx="83">
                  <c:v>55693.761000000013</c:v>
                </c:pt>
                <c:pt idx="84">
                  <c:v>55731.985000000015</c:v>
                </c:pt>
                <c:pt idx="85">
                  <c:v>55780.044000000024</c:v>
                </c:pt>
                <c:pt idx="86">
                  <c:v>55821.476000000017</c:v>
                </c:pt>
                <c:pt idx="87">
                  <c:v>55869.573000000019</c:v>
                </c:pt>
                <c:pt idx="88">
                  <c:v>55924.323000000004</c:v>
                </c:pt>
                <c:pt idx="89">
                  <c:v>55994.065000000002</c:v>
                </c:pt>
                <c:pt idx="90">
                  <c:v>56080.421000000002</c:v>
                </c:pt>
                <c:pt idx="91">
                  <c:v>56172.800999999999</c:v>
                </c:pt>
                <c:pt idx="92">
                  <c:v>56260.391000000003</c:v>
                </c:pt>
                <c:pt idx="93">
                  <c:v>56357.52199999999</c:v>
                </c:pt>
                <c:pt idx="94">
                  <c:v>56455.425000000003</c:v>
                </c:pt>
                <c:pt idx="95">
                  <c:v>56551.900999999998</c:v>
                </c:pt>
                <c:pt idx="96">
                  <c:v>56653.930999999997</c:v>
                </c:pt>
                <c:pt idx="97">
                  <c:v>56757.14699999999</c:v>
                </c:pt>
                <c:pt idx="98">
                  <c:v>56850.178999999996</c:v>
                </c:pt>
                <c:pt idx="99">
                  <c:v>56936.166000000005</c:v>
                </c:pt>
                <c:pt idx="100">
                  <c:v>57019.18</c:v>
                </c:pt>
                <c:pt idx="101">
                  <c:v>57113.555</c:v>
                </c:pt>
                <c:pt idx="102">
                  <c:v>57210.544000000002</c:v>
                </c:pt>
                <c:pt idx="103">
                  <c:v>57302.646000000008</c:v>
                </c:pt>
                <c:pt idx="104">
                  <c:v>57386.407000000014</c:v>
                </c:pt>
                <c:pt idx="105">
                  <c:v>57457.334000000003</c:v>
                </c:pt>
                <c:pt idx="106">
                  <c:v>57535.122000000003</c:v>
                </c:pt>
                <c:pt idx="107">
                  <c:v>57615.201000000008</c:v>
                </c:pt>
                <c:pt idx="108">
                  <c:v>57700.55000000001</c:v>
                </c:pt>
                <c:pt idx="109">
                  <c:v>57782.891000000003</c:v>
                </c:pt>
                <c:pt idx="110">
                  <c:v>57867.814000000006</c:v>
                </c:pt>
                <c:pt idx="111">
                  <c:v>57959.235000000001</c:v>
                </c:pt>
                <c:pt idx="112">
                  <c:v>58054.211999999992</c:v>
                </c:pt>
                <c:pt idx="113">
                  <c:v>58149.294000000002</c:v>
                </c:pt>
                <c:pt idx="114">
                  <c:v>58231.571000000004</c:v>
                </c:pt>
                <c:pt idx="115">
                  <c:v>58300.47800000001</c:v>
                </c:pt>
                <c:pt idx="116">
                  <c:v>58356.916000000005</c:v>
                </c:pt>
                <c:pt idx="117">
                  <c:v>58410.386000000006</c:v>
                </c:pt>
                <c:pt idx="118">
                  <c:v>58471.405000000006</c:v>
                </c:pt>
                <c:pt idx="119">
                  <c:v>58533.644000000015</c:v>
                </c:pt>
                <c:pt idx="120">
                  <c:v>58587.44000000001</c:v>
                </c:pt>
                <c:pt idx="121">
                  <c:v>58638.612000000008</c:v>
                </c:pt>
                <c:pt idx="122">
                  <c:v>58688.910000000011</c:v>
                </c:pt>
                <c:pt idx="123">
                  <c:v>58731.559000000016</c:v>
                </c:pt>
                <c:pt idx="124">
                  <c:v>58766.533000000018</c:v>
                </c:pt>
                <c:pt idx="125">
                  <c:v>58803.903000000028</c:v>
                </c:pt>
                <c:pt idx="126">
                  <c:v>58837.470000000008</c:v>
                </c:pt>
                <c:pt idx="127">
                  <c:v>58880.345000000016</c:v>
                </c:pt>
                <c:pt idx="128">
                  <c:v>58919.66800000002</c:v>
                </c:pt>
                <c:pt idx="129">
                  <c:v>58968.044000000024</c:v>
                </c:pt>
                <c:pt idx="130">
                  <c:v>59005.576000000023</c:v>
                </c:pt>
                <c:pt idx="131">
                  <c:v>59035.024000000012</c:v>
                </c:pt>
                <c:pt idx="132">
                  <c:v>59052.350000000006</c:v>
                </c:pt>
                <c:pt idx="133">
                  <c:v>59080.738000000005</c:v>
                </c:pt>
                <c:pt idx="134">
                  <c:v>59116.787000000011</c:v>
                </c:pt>
                <c:pt idx="135">
                  <c:v>59146.361000000012</c:v>
                </c:pt>
                <c:pt idx="136">
                  <c:v>59191.723000000005</c:v>
                </c:pt>
                <c:pt idx="137">
                  <c:v>59238.464999999997</c:v>
                </c:pt>
                <c:pt idx="138">
                  <c:v>59269.013000000006</c:v>
                </c:pt>
                <c:pt idx="139">
                  <c:v>59286.268000000011</c:v>
                </c:pt>
                <c:pt idx="140">
                  <c:v>59307.507000000012</c:v>
                </c:pt>
                <c:pt idx="141">
                  <c:v>59311.476000000017</c:v>
                </c:pt>
                <c:pt idx="142">
                  <c:v>59327.946000000018</c:v>
                </c:pt>
                <c:pt idx="143">
                  <c:v>59349.571000000004</c:v>
                </c:pt>
                <c:pt idx="144">
                  <c:v>59369.474000000002</c:v>
                </c:pt>
                <c:pt idx="145">
                  <c:v>59383.698000000004</c:v>
                </c:pt>
                <c:pt idx="146">
                  <c:v>59367.721000000012</c:v>
                </c:pt>
                <c:pt idx="147">
                  <c:v>59353.147000000012</c:v>
                </c:pt>
                <c:pt idx="148">
                  <c:v>59376.619000000013</c:v>
                </c:pt>
                <c:pt idx="149">
                  <c:v>59404.675000000017</c:v>
                </c:pt>
                <c:pt idx="150">
                  <c:v>59429.542000000009</c:v>
                </c:pt>
                <c:pt idx="151">
                  <c:v>59441.392000000014</c:v>
                </c:pt>
                <c:pt idx="152">
                  <c:v>59460.03300000001</c:v>
                </c:pt>
                <c:pt idx="153">
                  <c:v>59477.507000000005</c:v>
                </c:pt>
                <c:pt idx="154">
                  <c:v>59498.787000000004</c:v>
                </c:pt>
                <c:pt idx="155">
                  <c:v>59528.106000000007</c:v>
                </c:pt>
                <c:pt idx="156">
                  <c:v>59544.873999999996</c:v>
                </c:pt>
                <c:pt idx="157">
                  <c:v>59578.082000000002</c:v>
                </c:pt>
                <c:pt idx="158">
                  <c:v>59606.017999999996</c:v>
                </c:pt>
                <c:pt idx="159">
                  <c:v>59652.262999999999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8A-4C26-B831-A7CE7CD89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850767"/>
        <c:axId val="503851247"/>
      </c:lineChart>
      <c:dateAx>
        <c:axId val="5038507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51247"/>
        <c:crosses val="autoZero"/>
        <c:auto val="1"/>
        <c:lblOffset val="100"/>
        <c:baseTimeUnit val="days"/>
      </c:dateAx>
      <c:valAx>
        <c:axId val="50385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5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Market Volatility (20-Day Rolling Risk)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Analysis!$A$21:$A$161</c:f>
              <c:numCache>
                <c:formatCode>m/d/yyyy</c:formatCode>
                <c:ptCount val="141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45887</c:v>
                </c:pt>
                <c:pt idx="15">
                  <c:v>45888</c:v>
                </c:pt>
                <c:pt idx="16">
                  <c:v>45889</c:v>
                </c:pt>
                <c:pt idx="17">
                  <c:v>45890</c:v>
                </c:pt>
                <c:pt idx="18">
                  <c:v>45891</c:v>
                </c:pt>
                <c:pt idx="19">
                  <c:v>45894</c:v>
                </c:pt>
                <c:pt idx="20">
                  <c:v>45895</c:v>
                </c:pt>
                <c:pt idx="21">
                  <c:v>45897</c:v>
                </c:pt>
                <c:pt idx="22">
                  <c:v>45898</c:v>
                </c:pt>
                <c:pt idx="23">
                  <c:v>45901</c:v>
                </c:pt>
                <c:pt idx="24">
                  <c:v>45902</c:v>
                </c:pt>
                <c:pt idx="25">
                  <c:v>45903</c:v>
                </c:pt>
                <c:pt idx="26">
                  <c:v>45904</c:v>
                </c:pt>
                <c:pt idx="27">
                  <c:v>45905</c:v>
                </c:pt>
                <c:pt idx="28">
                  <c:v>45908</c:v>
                </c:pt>
                <c:pt idx="29">
                  <c:v>45909</c:v>
                </c:pt>
                <c:pt idx="30">
                  <c:v>45910</c:v>
                </c:pt>
                <c:pt idx="31">
                  <c:v>45911</c:v>
                </c:pt>
                <c:pt idx="32">
                  <c:v>45912</c:v>
                </c:pt>
                <c:pt idx="33">
                  <c:v>45915</c:v>
                </c:pt>
                <c:pt idx="34">
                  <c:v>45916</c:v>
                </c:pt>
                <c:pt idx="35">
                  <c:v>45917</c:v>
                </c:pt>
                <c:pt idx="36">
                  <c:v>45918</c:v>
                </c:pt>
                <c:pt idx="37">
                  <c:v>45919</c:v>
                </c:pt>
                <c:pt idx="38">
                  <c:v>45922</c:v>
                </c:pt>
                <c:pt idx="39">
                  <c:v>45923</c:v>
                </c:pt>
                <c:pt idx="40">
                  <c:v>45924</c:v>
                </c:pt>
                <c:pt idx="41">
                  <c:v>45925</c:v>
                </c:pt>
                <c:pt idx="42">
                  <c:v>45926</c:v>
                </c:pt>
                <c:pt idx="43">
                  <c:v>45929</c:v>
                </c:pt>
                <c:pt idx="44">
                  <c:v>45930</c:v>
                </c:pt>
                <c:pt idx="45">
                  <c:v>45931</c:v>
                </c:pt>
                <c:pt idx="46">
                  <c:v>45933</c:v>
                </c:pt>
                <c:pt idx="47">
                  <c:v>45936</c:v>
                </c:pt>
                <c:pt idx="48">
                  <c:v>45937</c:v>
                </c:pt>
                <c:pt idx="49">
                  <c:v>45938</c:v>
                </c:pt>
                <c:pt idx="50">
                  <c:v>45939</c:v>
                </c:pt>
                <c:pt idx="51">
                  <c:v>45940</c:v>
                </c:pt>
                <c:pt idx="52">
                  <c:v>45943</c:v>
                </c:pt>
                <c:pt idx="53">
                  <c:v>45944</c:v>
                </c:pt>
                <c:pt idx="54">
                  <c:v>45945</c:v>
                </c:pt>
                <c:pt idx="55">
                  <c:v>45946</c:v>
                </c:pt>
                <c:pt idx="56">
                  <c:v>45947</c:v>
                </c:pt>
                <c:pt idx="57">
                  <c:v>45950</c:v>
                </c:pt>
                <c:pt idx="58">
                  <c:v>45951</c:v>
                </c:pt>
                <c:pt idx="59">
                  <c:v>45953</c:v>
                </c:pt>
                <c:pt idx="60">
                  <c:v>45954</c:v>
                </c:pt>
                <c:pt idx="61">
                  <c:v>45957</c:v>
                </c:pt>
                <c:pt idx="62">
                  <c:v>45958</c:v>
                </c:pt>
                <c:pt idx="63">
                  <c:v>45959</c:v>
                </c:pt>
                <c:pt idx="64">
                  <c:v>45960</c:v>
                </c:pt>
                <c:pt idx="65">
                  <c:v>45961</c:v>
                </c:pt>
                <c:pt idx="66">
                  <c:v>45964</c:v>
                </c:pt>
                <c:pt idx="67">
                  <c:v>45965</c:v>
                </c:pt>
                <c:pt idx="68">
                  <c:v>45967</c:v>
                </c:pt>
                <c:pt idx="69">
                  <c:v>45968</c:v>
                </c:pt>
                <c:pt idx="70">
                  <c:v>45971</c:v>
                </c:pt>
                <c:pt idx="71">
                  <c:v>45972</c:v>
                </c:pt>
                <c:pt idx="72">
                  <c:v>45973</c:v>
                </c:pt>
                <c:pt idx="73">
                  <c:v>45974</c:v>
                </c:pt>
                <c:pt idx="74">
                  <c:v>45975</c:v>
                </c:pt>
                <c:pt idx="75">
                  <c:v>45978</c:v>
                </c:pt>
                <c:pt idx="76">
                  <c:v>45979</c:v>
                </c:pt>
                <c:pt idx="77">
                  <c:v>45980</c:v>
                </c:pt>
                <c:pt idx="78">
                  <c:v>45981</c:v>
                </c:pt>
                <c:pt idx="79">
                  <c:v>45982</c:v>
                </c:pt>
                <c:pt idx="80">
                  <c:v>45985</c:v>
                </c:pt>
                <c:pt idx="81">
                  <c:v>45986</c:v>
                </c:pt>
                <c:pt idx="82">
                  <c:v>45987</c:v>
                </c:pt>
                <c:pt idx="83">
                  <c:v>45988</c:v>
                </c:pt>
                <c:pt idx="84">
                  <c:v>45989</c:v>
                </c:pt>
                <c:pt idx="85">
                  <c:v>45992</c:v>
                </c:pt>
                <c:pt idx="86">
                  <c:v>45993</c:v>
                </c:pt>
                <c:pt idx="87">
                  <c:v>45994</c:v>
                </c:pt>
                <c:pt idx="88">
                  <c:v>45995</c:v>
                </c:pt>
                <c:pt idx="89">
                  <c:v>45996</c:v>
                </c:pt>
                <c:pt idx="90">
                  <c:v>45999</c:v>
                </c:pt>
                <c:pt idx="91">
                  <c:v>46000</c:v>
                </c:pt>
                <c:pt idx="92">
                  <c:v>46001</c:v>
                </c:pt>
                <c:pt idx="93">
                  <c:v>46002</c:v>
                </c:pt>
                <c:pt idx="94">
                  <c:v>46003</c:v>
                </c:pt>
                <c:pt idx="95">
                  <c:v>46006</c:v>
                </c:pt>
                <c:pt idx="96">
                  <c:v>46007</c:v>
                </c:pt>
                <c:pt idx="97">
                  <c:v>46008</c:v>
                </c:pt>
                <c:pt idx="98">
                  <c:v>46009</c:v>
                </c:pt>
                <c:pt idx="99">
                  <c:v>46010</c:v>
                </c:pt>
                <c:pt idx="100">
                  <c:v>46013</c:v>
                </c:pt>
                <c:pt idx="101">
                  <c:v>46014</c:v>
                </c:pt>
                <c:pt idx="102">
                  <c:v>46015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46023</c:v>
                </c:pt>
                <c:pt idx="108">
                  <c:v>46024</c:v>
                </c:pt>
                <c:pt idx="109">
                  <c:v>46027</c:v>
                </c:pt>
                <c:pt idx="110">
                  <c:v>46028</c:v>
                </c:pt>
                <c:pt idx="111">
                  <c:v>46029</c:v>
                </c:pt>
                <c:pt idx="112">
                  <c:v>46030</c:v>
                </c:pt>
                <c:pt idx="113">
                  <c:v>46031</c:v>
                </c:pt>
                <c:pt idx="114">
                  <c:v>46034</c:v>
                </c:pt>
                <c:pt idx="115">
                  <c:v>46035</c:v>
                </c:pt>
                <c:pt idx="116">
                  <c:v>46036</c:v>
                </c:pt>
                <c:pt idx="117">
                  <c:v>46038</c:v>
                </c:pt>
                <c:pt idx="118">
                  <c:v>46041</c:v>
                </c:pt>
                <c:pt idx="119">
                  <c:v>46042</c:v>
                </c:pt>
                <c:pt idx="120">
                  <c:v>46043</c:v>
                </c:pt>
                <c:pt idx="121">
                  <c:v>46044</c:v>
                </c:pt>
                <c:pt idx="122">
                  <c:v>46045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46054</c:v>
                </c:pt>
                <c:pt idx="128">
                  <c:v>46055</c:v>
                </c:pt>
                <c:pt idx="129">
                  <c:v>46056</c:v>
                </c:pt>
                <c:pt idx="130">
                  <c:v>46057</c:v>
                </c:pt>
                <c:pt idx="131">
                  <c:v>46058</c:v>
                </c:pt>
                <c:pt idx="132">
                  <c:v>46059</c:v>
                </c:pt>
                <c:pt idx="133">
                  <c:v>46062</c:v>
                </c:pt>
                <c:pt idx="134">
                  <c:v>46063</c:v>
                </c:pt>
                <c:pt idx="135">
                  <c:v>46064</c:v>
                </c:pt>
                <c:pt idx="136">
                  <c:v>46065</c:v>
                </c:pt>
                <c:pt idx="137">
                  <c:v>46066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</c:numCache>
            </c:numRef>
          </c:cat>
          <c:val>
            <c:numRef>
              <c:f>Analysis!$F$21:$F$161</c:f>
              <c:numCache>
                <c:formatCode>General</c:formatCode>
                <c:ptCount val="141"/>
                <c:pt idx="0">
                  <c:v>5.7419849327872878E-3</c:v>
                </c:pt>
                <c:pt idx="1">
                  <c:v>5.7918882095810368E-3</c:v>
                </c:pt>
                <c:pt idx="2">
                  <c:v>5.5701831699455882E-3</c:v>
                </c:pt>
                <c:pt idx="3">
                  <c:v>5.5633493217997773E-3</c:v>
                </c:pt>
                <c:pt idx="4">
                  <c:v>5.5618807370814514E-3</c:v>
                </c:pt>
                <c:pt idx="5">
                  <c:v>5.5684425650638697E-3</c:v>
                </c:pt>
                <c:pt idx="6">
                  <c:v>5.4050823536697396E-3</c:v>
                </c:pt>
                <c:pt idx="7">
                  <c:v>5.4314118653731765E-3</c:v>
                </c:pt>
                <c:pt idx="8">
                  <c:v>5.4412030205894793E-3</c:v>
                </c:pt>
                <c:pt idx="9">
                  <c:v>5.7004917542429565E-3</c:v>
                </c:pt>
                <c:pt idx="10">
                  <c:v>6.1574797403891272E-3</c:v>
                </c:pt>
                <c:pt idx="11">
                  <c:v>6.225686310067759E-3</c:v>
                </c:pt>
                <c:pt idx="12">
                  <c:v>6.2134610707616136E-3</c:v>
                </c:pt>
                <c:pt idx="13">
                  <c:v>6.2138435096809868E-3</c:v>
                </c:pt>
                <c:pt idx="14">
                  <c:v>6.1648281532051619E-3</c:v>
                </c:pt>
                <c:pt idx="15">
                  <c:v>5.5244731041140145E-3</c:v>
                </c:pt>
                <c:pt idx="16">
                  <c:v>5.5147241716697387E-3</c:v>
                </c:pt>
                <c:pt idx="17">
                  <c:v>5.1469332110094107E-3</c:v>
                </c:pt>
                <c:pt idx="18">
                  <c:v>5.5536149749468916E-3</c:v>
                </c:pt>
                <c:pt idx="19">
                  <c:v>5.2689954524565204E-3</c:v>
                </c:pt>
                <c:pt idx="20">
                  <c:v>5.64421347706169E-3</c:v>
                </c:pt>
                <c:pt idx="21">
                  <c:v>5.9761145430609064E-3</c:v>
                </c:pt>
                <c:pt idx="22">
                  <c:v>5.97546749295144E-3</c:v>
                </c:pt>
                <c:pt idx="23">
                  <c:v>6.2611037089934235E-3</c:v>
                </c:pt>
                <c:pt idx="24">
                  <c:v>6.2671579513971405E-3</c:v>
                </c:pt>
                <c:pt idx="25">
                  <c:v>6.5833011637414472E-3</c:v>
                </c:pt>
                <c:pt idx="26">
                  <c:v>6.5472904263708144E-3</c:v>
                </c:pt>
                <c:pt idx="27">
                  <c:v>6.5443234238894265E-3</c:v>
                </c:pt>
                <c:pt idx="28">
                  <c:v>6.5302489041155522E-3</c:v>
                </c:pt>
                <c:pt idx="29">
                  <c:v>6.266462159103957E-3</c:v>
                </c:pt>
                <c:pt idx="30">
                  <c:v>6.0433397119775446E-3</c:v>
                </c:pt>
                <c:pt idx="31">
                  <c:v>5.8248964525015766E-3</c:v>
                </c:pt>
                <c:pt idx="32">
                  <c:v>5.8261885454919124E-3</c:v>
                </c:pt>
                <c:pt idx="33">
                  <c:v>5.7941290704208153E-3</c:v>
                </c:pt>
                <c:pt idx="34">
                  <c:v>5.66233073504938E-3</c:v>
                </c:pt>
                <c:pt idx="35">
                  <c:v>5.8238242507228331E-3</c:v>
                </c:pt>
                <c:pt idx="36">
                  <c:v>5.8703229743691729E-3</c:v>
                </c:pt>
                <c:pt idx="37">
                  <c:v>5.9590213184419353E-3</c:v>
                </c:pt>
                <c:pt idx="38">
                  <c:v>5.4898118442128626E-3</c:v>
                </c:pt>
                <c:pt idx="39">
                  <c:v>5.5552461999005438E-3</c:v>
                </c:pt>
                <c:pt idx="40">
                  <c:v>5.02343440471809E-3</c:v>
                </c:pt>
                <c:pt idx="41">
                  <c:v>4.2577464428174769E-3</c:v>
                </c:pt>
                <c:pt idx="42">
                  <c:v>4.9019293606330609E-3</c:v>
                </c:pt>
                <c:pt idx="43">
                  <c:v>4.7240285247466905E-3</c:v>
                </c:pt>
                <c:pt idx="44">
                  <c:v>4.4935396428756966E-3</c:v>
                </c:pt>
                <c:pt idx="45">
                  <c:v>5.0243551964046316E-3</c:v>
                </c:pt>
                <c:pt idx="46">
                  <c:v>5.0646154561429122E-3</c:v>
                </c:pt>
                <c:pt idx="47">
                  <c:v>5.3432579226907889E-3</c:v>
                </c:pt>
                <c:pt idx="48">
                  <c:v>5.3434441757652159E-3</c:v>
                </c:pt>
                <c:pt idx="49">
                  <c:v>5.4862409405486657E-3</c:v>
                </c:pt>
                <c:pt idx="50">
                  <c:v>5.4112683297710823E-3</c:v>
                </c:pt>
                <c:pt idx="51">
                  <c:v>5.5614026853908378E-3</c:v>
                </c:pt>
                <c:pt idx="52">
                  <c:v>5.5673827809784365E-3</c:v>
                </c:pt>
                <c:pt idx="53">
                  <c:v>5.6325979019491009E-3</c:v>
                </c:pt>
                <c:pt idx="54">
                  <c:v>5.6528302126212238E-3</c:v>
                </c:pt>
                <c:pt idx="55">
                  <c:v>5.9365211189912172E-3</c:v>
                </c:pt>
                <c:pt idx="56">
                  <c:v>5.9570689882212568E-3</c:v>
                </c:pt>
                <c:pt idx="57">
                  <c:v>5.8101888755629598E-3</c:v>
                </c:pt>
                <c:pt idx="58">
                  <c:v>5.7132899466220393E-3</c:v>
                </c:pt>
                <c:pt idx="59">
                  <c:v>5.7059529923698619E-3</c:v>
                </c:pt>
                <c:pt idx="60">
                  <c:v>5.6679271443361243E-3</c:v>
                </c:pt>
                <c:pt idx="61">
                  <c:v>5.6440874281145073E-3</c:v>
                </c:pt>
                <c:pt idx="62">
                  <c:v>4.7389717491258679E-3</c:v>
                </c:pt>
                <c:pt idx="63">
                  <c:v>4.7162014849472956E-3</c:v>
                </c:pt>
                <c:pt idx="64">
                  <c:v>5.157011379230388E-3</c:v>
                </c:pt>
                <c:pt idx="65">
                  <c:v>4.8568419988874612E-3</c:v>
                </c:pt>
                <c:pt idx="66">
                  <c:v>4.8932392588802581E-3</c:v>
                </c:pt>
                <c:pt idx="67">
                  <c:v>4.8354394832145478E-3</c:v>
                </c:pt>
                <c:pt idx="68">
                  <c:v>5.0164729054612504E-3</c:v>
                </c:pt>
                <c:pt idx="69">
                  <c:v>4.9619294723224445E-3</c:v>
                </c:pt>
                <c:pt idx="70">
                  <c:v>4.9519517293431835E-3</c:v>
                </c:pt>
                <c:pt idx="71">
                  <c:v>4.7887065359052449E-3</c:v>
                </c:pt>
                <c:pt idx="72">
                  <c:v>4.7868024307832109E-3</c:v>
                </c:pt>
                <c:pt idx="73">
                  <c:v>4.7103688260126224E-3</c:v>
                </c:pt>
                <c:pt idx="74">
                  <c:v>4.6363567563112267E-3</c:v>
                </c:pt>
                <c:pt idx="75">
                  <c:v>4.3423917788797794E-3</c:v>
                </c:pt>
                <c:pt idx="76">
                  <c:v>4.2844638918428145E-3</c:v>
                </c:pt>
                <c:pt idx="77">
                  <c:v>4.2759948116104247E-3</c:v>
                </c:pt>
                <c:pt idx="78">
                  <c:v>4.2698150922659923E-3</c:v>
                </c:pt>
                <c:pt idx="79">
                  <c:v>4.7205201267669248E-3</c:v>
                </c:pt>
                <c:pt idx="80">
                  <c:v>4.4358383072135984E-3</c:v>
                </c:pt>
                <c:pt idx="81">
                  <c:v>4.2062210568437411E-3</c:v>
                </c:pt>
                <c:pt idx="82">
                  <c:v>4.8872874135742397E-3</c:v>
                </c:pt>
                <c:pt idx="83">
                  <c:v>4.8995382200817681E-3</c:v>
                </c:pt>
                <c:pt idx="84">
                  <c:v>4.619235622668188E-3</c:v>
                </c:pt>
                <c:pt idx="85">
                  <c:v>4.4663905903058127E-3</c:v>
                </c:pt>
                <c:pt idx="86">
                  <c:v>4.7269077606340304E-3</c:v>
                </c:pt>
                <c:pt idx="87">
                  <c:v>4.5402409323988596E-3</c:v>
                </c:pt>
                <c:pt idx="88">
                  <c:v>4.3624023863985681E-3</c:v>
                </c:pt>
                <c:pt idx="89">
                  <c:v>4.5214111933936114E-3</c:v>
                </c:pt>
                <c:pt idx="90">
                  <c:v>5.0824853038629759E-3</c:v>
                </c:pt>
                <c:pt idx="91">
                  <c:v>5.0617158868333373E-3</c:v>
                </c:pt>
                <c:pt idx="92">
                  <c:v>5.181065649653132E-3</c:v>
                </c:pt>
                <c:pt idx="93">
                  <c:v>5.2356106040145588E-3</c:v>
                </c:pt>
                <c:pt idx="94">
                  <c:v>5.2489587133004384E-3</c:v>
                </c:pt>
                <c:pt idx="95">
                  <c:v>5.0111224870382125E-3</c:v>
                </c:pt>
                <c:pt idx="96">
                  <c:v>5.2731524037354996E-3</c:v>
                </c:pt>
                <c:pt idx="97">
                  <c:v>5.1467872507217184E-3</c:v>
                </c:pt>
                <c:pt idx="98">
                  <c:v>5.1159548558175772E-3</c:v>
                </c:pt>
                <c:pt idx="99">
                  <c:v>4.8318554670040356E-3</c:v>
                </c:pt>
                <c:pt idx="100">
                  <c:v>4.8977539800328903E-3</c:v>
                </c:pt>
                <c:pt idx="101">
                  <c:v>4.8966859726992757E-3</c:v>
                </c:pt>
                <c:pt idx="102">
                  <c:v>4.1261374662510206E-3</c:v>
                </c:pt>
                <c:pt idx="103">
                  <c:v>4.0677472508889112E-3</c:v>
                </c:pt>
                <c:pt idx="104">
                  <c:v>4.0657388075487416E-3</c:v>
                </c:pt>
                <c:pt idx="105">
                  <c:v>4.191661529521223E-3</c:v>
                </c:pt>
                <c:pt idx="106">
                  <c:v>4.2131717979209064E-3</c:v>
                </c:pt>
                <c:pt idx="107">
                  <c:v>4.2287185535055966E-3</c:v>
                </c:pt>
                <c:pt idx="108">
                  <c:v>4.4834982840761687E-3</c:v>
                </c:pt>
                <c:pt idx="109">
                  <c:v>4.1650282553877885E-3</c:v>
                </c:pt>
                <c:pt idx="110">
                  <c:v>3.5866707762570635E-3</c:v>
                </c:pt>
                <c:pt idx="111">
                  <c:v>3.6351724209151264E-3</c:v>
                </c:pt>
                <c:pt idx="112">
                  <c:v>3.6829963252152965E-3</c:v>
                </c:pt>
                <c:pt idx="113">
                  <c:v>3.9630703538697902E-3</c:v>
                </c:pt>
                <c:pt idx="114">
                  <c:v>3.9756038358517804E-3</c:v>
                </c:pt>
                <c:pt idx="115">
                  <c:v>3.9946570432089715E-3</c:v>
                </c:pt>
                <c:pt idx="116">
                  <c:v>3.6290566919083811E-3</c:v>
                </c:pt>
                <c:pt idx="117">
                  <c:v>3.997033319948406E-3</c:v>
                </c:pt>
                <c:pt idx="118">
                  <c:v>4.1031791914344197E-3</c:v>
                </c:pt>
                <c:pt idx="119">
                  <c:v>4.5165200765559382E-3</c:v>
                </c:pt>
                <c:pt idx="120">
                  <c:v>4.9689698889381646E-3</c:v>
                </c:pt>
                <c:pt idx="121">
                  <c:v>5.2123298659859365E-3</c:v>
                </c:pt>
                <c:pt idx="122">
                  <c:v>5.8462360242405751E-3</c:v>
                </c:pt>
                <c:pt idx="123">
                  <c:v>6.4736366720220982E-3</c:v>
                </c:pt>
                <c:pt idx="124">
                  <c:v>6.6119788183165752E-3</c:v>
                </c:pt>
                <c:pt idx="125">
                  <c:v>6.6773083330631455E-3</c:v>
                </c:pt>
                <c:pt idx="126">
                  <c:v>6.65744073914882E-3</c:v>
                </c:pt>
                <c:pt idx="127">
                  <c:v>7.9366564717791611E-3</c:v>
                </c:pt>
                <c:pt idx="128">
                  <c:v>7.7734358814499586E-3</c:v>
                </c:pt>
                <c:pt idx="129">
                  <c:v>9.5544355347266345E-3</c:v>
                </c:pt>
                <c:pt idx="130">
                  <c:v>9.5775305089713849E-3</c:v>
                </c:pt>
                <c:pt idx="131">
                  <c:v>9.5881887855183787E-3</c:v>
                </c:pt>
                <c:pt idx="132">
                  <c:v>9.5150710291327951E-3</c:v>
                </c:pt>
                <c:pt idx="133">
                  <c:v>9.5239170509367702E-3</c:v>
                </c:pt>
                <c:pt idx="134">
                  <c:v>9.5196856707884855E-3</c:v>
                </c:pt>
                <c:pt idx="135">
                  <c:v>9.5186146371292624E-3</c:v>
                </c:pt>
                <c:pt idx="136">
                  <c:v>9.5192463317247383E-3</c:v>
                </c:pt>
                <c:pt idx="137">
                  <c:v>9.5932530118313201E-3</c:v>
                </c:pt>
                <c:pt idx="138">
                  <c:v>9.9317061972205387E-3</c:v>
                </c:pt>
                <c:pt idx="139">
                  <c:v>9.7246272211964982E-3</c:v>
                </c:pt>
                <c:pt idx="140">
                  <c:v>9.3891689506175741E-3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A-46DB-A646-DF5AC7EEF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7571407"/>
        <c:axId val="607574287"/>
      </c:lineChart>
      <c:dateAx>
        <c:axId val="6075714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574287"/>
        <c:crosses val="autoZero"/>
        <c:auto val="1"/>
        <c:lblOffset val="100"/>
        <c:baseTimeUnit val="days"/>
      </c:dateAx>
      <c:valAx>
        <c:axId val="60757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57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Maximum Drawdown (Market Crash Risk)</a:t>
            </a:r>
          </a:p>
        </c:rich>
      </c:tx>
      <c:layout>
        <c:manualLayout>
          <c:xMode val="edge"/>
          <c:yMode val="edge"/>
          <c:x val="0.23454166907464416"/>
          <c:y val="2.4621878297572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Analysis!$A$2:$A$161</c:f>
              <c:numCache>
                <c:formatCode>m/d/yyyy</c:formatCode>
                <c:ptCount val="160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45887</c:v>
                </c:pt>
                <c:pt idx="34">
                  <c:v>45888</c:v>
                </c:pt>
                <c:pt idx="35">
                  <c:v>45889</c:v>
                </c:pt>
                <c:pt idx="36">
                  <c:v>45890</c:v>
                </c:pt>
                <c:pt idx="37">
                  <c:v>45891</c:v>
                </c:pt>
                <c:pt idx="38">
                  <c:v>45894</c:v>
                </c:pt>
                <c:pt idx="39">
                  <c:v>45895</c:v>
                </c:pt>
                <c:pt idx="40">
                  <c:v>45897</c:v>
                </c:pt>
                <c:pt idx="41">
                  <c:v>45898</c:v>
                </c:pt>
                <c:pt idx="42">
                  <c:v>45901</c:v>
                </c:pt>
                <c:pt idx="43">
                  <c:v>45902</c:v>
                </c:pt>
                <c:pt idx="44">
                  <c:v>45903</c:v>
                </c:pt>
                <c:pt idx="45">
                  <c:v>45904</c:v>
                </c:pt>
                <c:pt idx="46">
                  <c:v>45905</c:v>
                </c:pt>
                <c:pt idx="47">
                  <c:v>45908</c:v>
                </c:pt>
                <c:pt idx="48">
                  <c:v>45909</c:v>
                </c:pt>
                <c:pt idx="49">
                  <c:v>45910</c:v>
                </c:pt>
                <c:pt idx="50">
                  <c:v>45911</c:v>
                </c:pt>
                <c:pt idx="51">
                  <c:v>45912</c:v>
                </c:pt>
                <c:pt idx="52">
                  <c:v>45915</c:v>
                </c:pt>
                <c:pt idx="53">
                  <c:v>45916</c:v>
                </c:pt>
                <c:pt idx="54">
                  <c:v>45917</c:v>
                </c:pt>
                <c:pt idx="55">
                  <c:v>45918</c:v>
                </c:pt>
                <c:pt idx="56">
                  <c:v>45919</c:v>
                </c:pt>
                <c:pt idx="57">
                  <c:v>45922</c:v>
                </c:pt>
                <c:pt idx="58">
                  <c:v>45923</c:v>
                </c:pt>
                <c:pt idx="59">
                  <c:v>45924</c:v>
                </c:pt>
                <c:pt idx="60">
                  <c:v>45925</c:v>
                </c:pt>
                <c:pt idx="61">
                  <c:v>45926</c:v>
                </c:pt>
                <c:pt idx="62">
                  <c:v>45929</c:v>
                </c:pt>
                <c:pt idx="63">
                  <c:v>45930</c:v>
                </c:pt>
                <c:pt idx="64">
                  <c:v>45931</c:v>
                </c:pt>
                <c:pt idx="65">
                  <c:v>45933</c:v>
                </c:pt>
                <c:pt idx="66">
                  <c:v>45936</c:v>
                </c:pt>
                <c:pt idx="67">
                  <c:v>45937</c:v>
                </c:pt>
                <c:pt idx="68">
                  <c:v>45938</c:v>
                </c:pt>
                <c:pt idx="69">
                  <c:v>45939</c:v>
                </c:pt>
                <c:pt idx="70">
                  <c:v>45940</c:v>
                </c:pt>
                <c:pt idx="71">
                  <c:v>45943</c:v>
                </c:pt>
                <c:pt idx="72">
                  <c:v>45944</c:v>
                </c:pt>
                <c:pt idx="73">
                  <c:v>45945</c:v>
                </c:pt>
                <c:pt idx="74">
                  <c:v>45946</c:v>
                </c:pt>
                <c:pt idx="75">
                  <c:v>45947</c:v>
                </c:pt>
                <c:pt idx="76">
                  <c:v>45950</c:v>
                </c:pt>
                <c:pt idx="77">
                  <c:v>45951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45961</c:v>
                </c:pt>
                <c:pt idx="85">
                  <c:v>45964</c:v>
                </c:pt>
                <c:pt idx="86">
                  <c:v>45965</c:v>
                </c:pt>
                <c:pt idx="87">
                  <c:v>45967</c:v>
                </c:pt>
                <c:pt idx="88">
                  <c:v>45968</c:v>
                </c:pt>
                <c:pt idx="89">
                  <c:v>45971</c:v>
                </c:pt>
                <c:pt idx="90">
                  <c:v>45972</c:v>
                </c:pt>
                <c:pt idx="91">
                  <c:v>45973</c:v>
                </c:pt>
                <c:pt idx="92">
                  <c:v>45974</c:v>
                </c:pt>
                <c:pt idx="93">
                  <c:v>45975</c:v>
                </c:pt>
                <c:pt idx="94">
                  <c:v>45978</c:v>
                </c:pt>
                <c:pt idx="95">
                  <c:v>45979</c:v>
                </c:pt>
                <c:pt idx="96">
                  <c:v>45980</c:v>
                </c:pt>
                <c:pt idx="97">
                  <c:v>45981</c:v>
                </c:pt>
                <c:pt idx="98">
                  <c:v>45982</c:v>
                </c:pt>
                <c:pt idx="99">
                  <c:v>45985</c:v>
                </c:pt>
                <c:pt idx="100">
                  <c:v>45986</c:v>
                </c:pt>
                <c:pt idx="101">
                  <c:v>45987</c:v>
                </c:pt>
                <c:pt idx="102">
                  <c:v>45988</c:v>
                </c:pt>
                <c:pt idx="103">
                  <c:v>45989</c:v>
                </c:pt>
                <c:pt idx="104">
                  <c:v>45992</c:v>
                </c:pt>
                <c:pt idx="105">
                  <c:v>45993</c:v>
                </c:pt>
                <c:pt idx="106">
                  <c:v>45994</c:v>
                </c:pt>
                <c:pt idx="107">
                  <c:v>45995</c:v>
                </c:pt>
                <c:pt idx="108">
                  <c:v>45996</c:v>
                </c:pt>
                <c:pt idx="109">
                  <c:v>45999</c:v>
                </c:pt>
                <c:pt idx="110">
                  <c:v>46000</c:v>
                </c:pt>
                <c:pt idx="111">
                  <c:v>46001</c:v>
                </c:pt>
                <c:pt idx="112">
                  <c:v>46002</c:v>
                </c:pt>
                <c:pt idx="113">
                  <c:v>46003</c:v>
                </c:pt>
                <c:pt idx="114">
                  <c:v>46006</c:v>
                </c:pt>
                <c:pt idx="115">
                  <c:v>46007</c:v>
                </c:pt>
                <c:pt idx="116">
                  <c:v>46008</c:v>
                </c:pt>
                <c:pt idx="117">
                  <c:v>46009</c:v>
                </c:pt>
                <c:pt idx="118">
                  <c:v>46010</c:v>
                </c:pt>
                <c:pt idx="119">
                  <c:v>46013</c:v>
                </c:pt>
                <c:pt idx="120">
                  <c:v>46014</c:v>
                </c:pt>
                <c:pt idx="121">
                  <c:v>46015</c:v>
                </c:pt>
                <c:pt idx="122">
                  <c:v>46017</c:v>
                </c:pt>
                <c:pt idx="123">
                  <c:v>46020</c:v>
                </c:pt>
                <c:pt idx="124">
                  <c:v>46021</c:v>
                </c:pt>
                <c:pt idx="125">
                  <c:v>46022</c:v>
                </c:pt>
                <c:pt idx="126">
                  <c:v>46023</c:v>
                </c:pt>
                <c:pt idx="127">
                  <c:v>46024</c:v>
                </c:pt>
                <c:pt idx="128">
                  <c:v>46027</c:v>
                </c:pt>
                <c:pt idx="129">
                  <c:v>46028</c:v>
                </c:pt>
                <c:pt idx="130">
                  <c:v>46029</c:v>
                </c:pt>
                <c:pt idx="131">
                  <c:v>46030</c:v>
                </c:pt>
                <c:pt idx="132">
                  <c:v>46031</c:v>
                </c:pt>
                <c:pt idx="133">
                  <c:v>46034</c:v>
                </c:pt>
                <c:pt idx="134">
                  <c:v>46035</c:v>
                </c:pt>
                <c:pt idx="135">
                  <c:v>46036</c:v>
                </c:pt>
                <c:pt idx="136">
                  <c:v>46038</c:v>
                </c:pt>
                <c:pt idx="137">
                  <c:v>46041</c:v>
                </c:pt>
                <c:pt idx="138">
                  <c:v>46042</c:v>
                </c:pt>
                <c:pt idx="139">
                  <c:v>46043</c:v>
                </c:pt>
                <c:pt idx="140">
                  <c:v>46044</c:v>
                </c:pt>
                <c:pt idx="141">
                  <c:v>46045</c:v>
                </c:pt>
                <c:pt idx="142">
                  <c:v>46049</c:v>
                </c:pt>
                <c:pt idx="143">
                  <c:v>46050</c:v>
                </c:pt>
                <c:pt idx="144">
                  <c:v>46051</c:v>
                </c:pt>
                <c:pt idx="145">
                  <c:v>46052</c:v>
                </c:pt>
                <c:pt idx="146">
                  <c:v>46054</c:v>
                </c:pt>
                <c:pt idx="147">
                  <c:v>46055</c:v>
                </c:pt>
                <c:pt idx="148">
                  <c:v>46056</c:v>
                </c:pt>
                <c:pt idx="149">
                  <c:v>46057</c:v>
                </c:pt>
                <c:pt idx="150">
                  <c:v>46058</c:v>
                </c:pt>
                <c:pt idx="151">
                  <c:v>46059</c:v>
                </c:pt>
                <c:pt idx="152">
                  <c:v>46062</c:v>
                </c:pt>
                <c:pt idx="153">
                  <c:v>46063</c:v>
                </c:pt>
                <c:pt idx="154">
                  <c:v>46064</c:v>
                </c:pt>
                <c:pt idx="155">
                  <c:v>46065</c:v>
                </c:pt>
                <c:pt idx="156">
                  <c:v>46066</c:v>
                </c:pt>
                <c:pt idx="157">
                  <c:v>46069</c:v>
                </c:pt>
                <c:pt idx="158">
                  <c:v>46070</c:v>
                </c:pt>
                <c:pt idx="159">
                  <c:v>46071</c:v>
                </c:pt>
              </c:numCache>
            </c:numRef>
          </c:cat>
          <c:val>
            <c:numRef>
              <c:f>Analysis!$J$2:$J$161</c:f>
              <c:numCache>
                <c:formatCode>General</c:formatCode>
                <c:ptCount val="160"/>
                <c:pt idx="0">
                  <c:v>0</c:v>
                </c:pt>
                <c:pt idx="1">
                  <c:v>-8.0099966150041467E-3</c:v>
                </c:pt>
                <c:pt idx="2">
                  <c:v>-1.1616888083683363E-2</c:v>
                </c:pt>
                <c:pt idx="3">
                  <c:v>-7.4408996257359873E-3</c:v>
                </c:pt>
                <c:pt idx="4">
                  <c:v>-8.8801754976770581E-3</c:v>
                </c:pt>
                <c:pt idx="5">
                  <c:v>-3.5355368002999367E-3</c:v>
                </c:pt>
                <c:pt idx="6">
                  <c:v>-4.2795397449852755E-3</c:v>
                </c:pt>
                <c:pt idx="7">
                  <c:v>-8.7618311696334907E-3</c:v>
                </c:pt>
                <c:pt idx="8">
                  <c:v>-1.2265171351274683E-2</c:v>
                </c:pt>
                <c:pt idx="9">
                  <c:v>-1.2079823249265327E-2</c:v>
                </c:pt>
                <c:pt idx="10">
                  <c:v>-7.8803399614858077E-3</c:v>
                </c:pt>
                <c:pt idx="11">
                  <c:v>-5.0557393083296136E-3</c:v>
                </c:pt>
                <c:pt idx="12">
                  <c:v>-1.0975566247153326E-2</c:v>
                </c:pt>
                <c:pt idx="13">
                  <c:v>-2.0474438930410874E-2</c:v>
                </c:pt>
                <c:pt idx="14">
                  <c:v>-8.8183927970072306E-3</c:v>
                </c:pt>
                <c:pt idx="15">
                  <c:v>-1.2242546700325136E-2</c:v>
                </c:pt>
                <c:pt idx="16">
                  <c:v>-4.3334908357110973E-3</c:v>
                </c:pt>
                <c:pt idx="17">
                  <c:v>-6.8465674488703632E-3</c:v>
                </c:pt>
                <c:pt idx="18">
                  <c:v>-1.6194899185425472E-2</c:v>
                </c:pt>
                <c:pt idx="19">
                  <c:v>-2.3922087663560923E-2</c:v>
                </c:pt>
                <c:pt idx="20">
                  <c:v>-2.1536057167271826E-2</c:v>
                </c:pt>
                <c:pt idx="21">
                  <c:v>-2.2776932253963447E-2</c:v>
                </c:pt>
                <c:pt idx="22">
                  <c:v>-2.6061857536053688E-2</c:v>
                </c:pt>
                <c:pt idx="23">
                  <c:v>-3.2054779501022E-2</c:v>
                </c:pt>
                <c:pt idx="24">
                  <c:v>-3.2024323240128452E-2</c:v>
                </c:pt>
                <c:pt idx="25">
                  <c:v>-3.6533590210139452E-2</c:v>
                </c:pt>
                <c:pt idx="26">
                  <c:v>-3.5647748107578398E-2</c:v>
                </c:pt>
                <c:pt idx="27">
                  <c:v>-3.3733354565697996E-2</c:v>
                </c:pt>
                <c:pt idx="28">
                  <c:v>-4.2717951529295806E-2</c:v>
                </c:pt>
                <c:pt idx="29">
                  <c:v>-3.3914351773293987E-2</c:v>
                </c:pt>
                <c:pt idx="30">
                  <c:v>-4.2042692716341701E-2</c:v>
                </c:pt>
                <c:pt idx="31">
                  <c:v>-3.9645349894577832E-2</c:v>
                </c:pt>
                <c:pt idx="32">
                  <c:v>-3.6853816038963108E-2</c:v>
                </c:pt>
                <c:pt idx="33">
                  <c:v>-3.0013339842271301E-2</c:v>
                </c:pt>
                <c:pt idx="34">
                  <c:v>-2.7746523852908368E-2</c:v>
                </c:pt>
                <c:pt idx="35">
                  <c:v>-3.0646830068857205E-2</c:v>
                </c:pt>
                <c:pt idx="36">
                  <c:v>-2.965569632149281E-2</c:v>
                </c:pt>
                <c:pt idx="37">
                  <c:v>-4.0203134558371087E-2</c:v>
                </c:pt>
                <c:pt idx="38">
                  <c:v>-4.0378910692670994E-2</c:v>
                </c:pt>
                <c:pt idx="39">
                  <c:v>-5.2367365159255788E-2</c:v>
                </c:pt>
                <c:pt idx="40">
                  <c:v>-6.3333359438699791E-2</c:v>
                </c:pt>
                <c:pt idx="41">
                  <c:v>-6.6199728678224309E-2</c:v>
                </c:pt>
                <c:pt idx="42">
                  <c:v>-6.0164167948005075E-2</c:v>
                </c:pt>
                <c:pt idx="43">
                  <c:v>-6.6106619537778327E-2</c:v>
                </c:pt>
                <c:pt idx="44">
                  <c:v>-5.9031195042764842E-2</c:v>
                </c:pt>
                <c:pt idx="45">
                  <c:v>-5.8893706779302626E-2</c:v>
                </c:pt>
                <c:pt idx="46">
                  <c:v>-5.8213226893052306E-2</c:v>
                </c:pt>
                <c:pt idx="47">
                  <c:v>-5.6954078049824629E-2</c:v>
                </c:pt>
                <c:pt idx="48">
                  <c:v>-5.6445893582343698E-2</c:v>
                </c:pt>
                <c:pt idx="49">
                  <c:v>-5.0878489091002392E-2</c:v>
                </c:pt>
                <c:pt idx="50">
                  <c:v>-4.8553371116500398E-2</c:v>
                </c:pt>
                <c:pt idx="51">
                  <c:v>-4.6122091318312207E-2</c:v>
                </c:pt>
                <c:pt idx="52">
                  <c:v>-4.4755040293633142E-2</c:v>
                </c:pt>
                <c:pt idx="53">
                  <c:v>-4.0234460998147363E-2</c:v>
                </c:pt>
                <c:pt idx="54">
                  <c:v>-3.421804420334678E-2</c:v>
                </c:pt>
                <c:pt idx="55">
                  <c:v>-3.014299649578964E-2</c:v>
                </c:pt>
                <c:pt idx="56">
                  <c:v>-3.4817597453508493E-2</c:v>
                </c:pt>
                <c:pt idx="57">
                  <c:v>-3.7847560322975544E-2</c:v>
                </c:pt>
                <c:pt idx="58">
                  <c:v>-3.3931755350947446E-2</c:v>
                </c:pt>
                <c:pt idx="59">
                  <c:v>-4.0688694374902599E-2</c:v>
                </c:pt>
                <c:pt idx="60">
                  <c:v>-4.3217434207950128E-2</c:v>
                </c:pt>
                <c:pt idx="61">
                  <c:v>-5.343072375388206E-2</c:v>
                </c:pt>
                <c:pt idx="62">
                  <c:v>-5.2183757415011758E-2</c:v>
                </c:pt>
                <c:pt idx="63">
                  <c:v>-4.9140741862304611E-2</c:v>
                </c:pt>
                <c:pt idx="64">
                  <c:v>-3.6747654215277037E-2</c:v>
                </c:pt>
                <c:pt idx="65">
                  <c:v>-3.2548170927497518E-2</c:v>
                </c:pt>
                <c:pt idx="66">
                  <c:v>-2.3574886289374482E-2</c:v>
                </c:pt>
                <c:pt idx="67">
                  <c:v>-2.1234105094984353E-2</c:v>
                </c:pt>
                <c:pt idx="68">
                  <c:v>-2.5082036114163941E-2</c:v>
                </c:pt>
                <c:pt idx="69">
                  <c:v>-2.2057294317992849E-2</c:v>
                </c:pt>
                <c:pt idx="70">
                  <c:v>-1.4787819932143401E-2</c:v>
                </c:pt>
                <c:pt idx="71">
                  <c:v>-1.4522415372928163E-2</c:v>
                </c:pt>
                <c:pt idx="72">
                  <c:v>-1.6759645280280268E-2</c:v>
                </c:pt>
                <c:pt idx="73">
                  <c:v>-1.1478529641338294E-2</c:v>
                </c:pt>
                <c:pt idx="74">
                  <c:v>-6.4219201541250708E-4</c:v>
                </c:pt>
                <c:pt idx="75">
                  <c:v>0</c:v>
                </c:pt>
                <c:pt idx="76">
                  <c:v>0</c:v>
                </c:pt>
                <c:pt idx="77">
                  <c:v>-4.4801940957934426E-4</c:v>
                </c:pt>
                <c:pt idx="78">
                  <c:v>0</c:v>
                </c:pt>
                <c:pt idx="79">
                  <c:v>-6.5162311751170076E-3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-6.0657443446761206E-3</c:v>
                </c:pt>
                <c:pt idx="84">
                  <c:v>-1.0429003900814015E-2</c:v>
                </c:pt>
                <c:pt idx="85">
                  <c:v>-4.8608167302529818E-3</c:v>
                </c:pt>
                <c:pt idx="86">
                  <c:v>-9.5606338929780568E-3</c:v>
                </c:pt>
                <c:pt idx="87">
                  <c:v>-1.4233046873996428E-2</c:v>
                </c:pt>
                <c:pt idx="88">
                  <c:v>-8.7085351180306164E-3</c:v>
                </c:pt>
                <c:pt idx="89">
                  <c:v>-7.6680325938485675E-3</c:v>
                </c:pt>
                <c:pt idx="90">
                  <c:v>-4.2322333123519821E-3</c:v>
                </c:pt>
                <c:pt idx="91">
                  <c:v>-1.8943140604861424E-3</c:v>
                </c:pt>
                <c:pt idx="92">
                  <c:v>-5.6521124770432779E-5</c:v>
                </c:pt>
                <c:pt idx="93">
                  <c:v>0</c:v>
                </c:pt>
                <c:pt idx="94">
                  <c:v>0</c:v>
                </c:pt>
                <c:pt idx="95">
                  <c:v>-1.0761040454388467E-3</c:v>
                </c:pt>
                <c:pt idx="96">
                  <c:v>0</c:v>
                </c:pt>
                <c:pt idx="97">
                  <c:v>0</c:v>
                </c:pt>
                <c:pt idx="98">
                  <c:v>-8.0879292710585252E-3</c:v>
                </c:pt>
                <c:pt idx="99">
                  <c:v>-8.6330220042225483E-3</c:v>
                </c:pt>
                <c:pt idx="100">
                  <c:v>-8.8866122865754564E-3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-1.194088300612333E-3</c:v>
                </c:pt>
                <c:pt idx="105">
                  <c:v>-8.0147005909355432E-3</c:v>
                </c:pt>
                <c:pt idx="106">
                  <c:v>-6.7687317895257807E-3</c:v>
                </c:pt>
                <c:pt idx="107">
                  <c:v>-7.7653394741994926E-3</c:v>
                </c:pt>
                <c:pt idx="108">
                  <c:v>0</c:v>
                </c:pt>
                <c:pt idx="109">
                  <c:v>-9.0109607007352998E-3</c:v>
                </c:pt>
                <c:pt idx="110">
                  <c:v>-9.2819670375995957E-3</c:v>
                </c:pt>
                <c:pt idx="111">
                  <c:v>-1.3664072589549121E-2</c:v>
                </c:pt>
                <c:pt idx="112">
                  <c:v>-9.4910768654269274E-3</c:v>
                </c:pt>
                <c:pt idx="113">
                  <c:v>-6.4782224660907507E-3</c:v>
                </c:pt>
                <c:pt idx="114">
                  <c:v>-5.2762591757391482E-3</c:v>
                </c:pt>
                <c:pt idx="115">
                  <c:v>-1.2422796651566126E-2</c:v>
                </c:pt>
                <c:pt idx="116">
                  <c:v>-1.4226996246060324E-2</c:v>
                </c:pt>
                <c:pt idx="117">
                  <c:v>-1.4459526374604341E-2</c:v>
                </c:pt>
                <c:pt idx="118">
                  <c:v>-1.1843980648140094E-2</c:v>
                </c:pt>
                <c:pt idx="119">
                  <c:v>-7.9160616422314384E-3</c:v>
                </c:pt>
                <c:pt idx="120">
                  <c:v>-7.9905047409379194E-3</c:v>
                </c:pt>
                <c:pt idx="121">
                  <c:v>-9.9302075038643252E-3</c:v>
                </c:pt>
                <c:pt idx="122">
                  <c:v>-1.2811740931324964E-2</c:v>
                </c:pt>
                <c:pt idx="123">
                  <c:v>-1.4133315043193703E-2</c:v>
                </c:pt>
                <c:pt idx="124">
                  <c:v>-1.0136808013757706E-2</c:v>
                </c:pt>
                <c:pt idx="125">
                  <c:v>-3.2679683892855227E-3</c:v>
                </c:pt>
                <c:pt idx="126">
                  <c:v>-1.0982448157490512E-3</c:v>
                </c:pt>
                <c:pt idx="127">
                  <c:v>0</c:v>
                </c:pt>
                <c:pt idx="128">
                  <c:v>-1.7747018126895752E-3</c:v>
                </c:pt>
                <c:pt idx="129">
                  <c:v>-5.4113858550855205E-4</c:v>
                </c:pt>
                <c:pt idx="130">
                  <c:v>-2.6616370980009217E-3</c:v>
                </c:pt>
                <c:pt idx="131">
                  <c:v>-7.7214075588165629E-3</c:v>
                </c:pt>
                <c:pt idx="132">
                  <c:v>-1.4952382298201346E-2</c:v>
                </c:pt>
                <c:pt idx="133">
                  <c:v>-1.1644870114270799E-2</c:v>
                </c:pt>
                <c:pt idx="134">
                  <c:v>-9.5119029707759258E-3</c:v>
                </c:pt>
                <c:pt idx="135">
                  <c:v>-9.4894594349714447E-3</c:v>
                </c:pt>
                <c:pt idx="136">
                  <c:v>-9.2766614658614096E-4</c:v>
                </c:pt>
                <c:pt idx="137">
                  <c:v>-4.3158088109996363E-3</c:v>
                </c:pt>
                <c:pt idx="138">
                  <c:v>-1.2414600268158691E-2</c:v>
                </c:pt>
                <c:pt idx="139">
                  <c:v>-2.2454341951373906E-2</c:v>
                </c:pt>
                <c:pt idx="140">
                  <c:v>-1.5807730384973115E-2</c:v>
                </c:pt>
                <c:pt idx="141">
                  <c:v>-2.7893990036732565E-2</c:v>
                </c:pt>
                <c:pt idx="142">
                  <c:v>-1.5718787483821953E-2</c:v>
                </c:pt>
                <c:pt idx="143">
                  <c:v>-9.1794061440425168E-3</c:v>
                </c:pt>
                <c:pt idx="144">
                  <c:v>-3.2102568621110482E-3</c:v>
                </c:pt>
                <c:pt idx="145">
                  <c:v>-8.9857267424704023E-3</c:v>
                </c:pt>
                <c:pt idx="146">
                  <c:v>-2.8823318667452469E-2</c:v>
                </c:pt>
                <c:pt idx="147">
                  <c:v>-2.5468425685712316E-2</c:v>
                </c:pt>
                <c:pt idx="148">
                  <c:v>-1.8229138525658229E-3</c:v>
                </c:pt>
                <c:pt idx="149">
                  <c:v>0</c:v>
                </c:pt>
                <c:pt idx="150">
                  <c:v>-2.896835311177385E-3</c:v>
                </c:pt>
                <c:pt idx="151">
                  <c:v>-1.9522511896530445E-3</c:v>
                </c:pt>
                <c:pt idx="152">
                  <c:v>0</c:v>
                </c:pt>
                <c:pt idx="153">
                  <c:v>-7.0793572042550466E-4</c:v>
                </c:pt>
                <c:pt idx="154">
                  <c:v>0</c:v>
                </c:pt>
                <c:pt idx="155">
                  <c:v>-9.2188126333925884E-5</c:v>
                </c:pt>
                <c:pt idx="156">
                  <c:v>-9.1974118183531274E-3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6-4F59-980F-EC9ED83C2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197471"/>
        <c:axId val="289197951"/>
      </c:lineChart>
      <c:dateAx>
        <c:axId val="2891974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97951"/>
        <c:crosses val="autoZero"/>
        <c:auto val="1"/>
        <c:lblOffset val="100"/>
        <c:baseTimeUnit val="days"/>
      </c:dateAx>
      <c:valAx>
        <c:axId val="28919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9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Bank Nifty Time Series Forecast (ETS Model)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Forecast_Model!$B$1</c:f>
              <c:strCache>
                <c:ptCount val="1"/>
                <c:pt idx="0">
                  <c:v>Closing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Forecast_Model!$B$2:$B$321</c:f>
              <c:numCache>
                <c:formatCode>General</c:formatCode>
                <c:ptCount val="320"/>
                <c:pt idx="0">
                  <c:v>57459.45</c:v>
                </c:pt>
                <c:pt idx="1">
                  <c:v>56999.199999999997</c:v>
                </c:pt>
                <c:pt idx="2">
                  <c:v>56791.95</c:v>
                </c:pt>
                <c:pt idx="3">
                  <c:v>57031.9</c:v>
                </c:pt>
                <c:pt idx="4">
                  <c:v>57031.9</c:v>
                </c:pt>
                <c:pt idx="5">
                  <c:v>57031.9</c:v>
                </c:pt>
                <c:pt idx="6">
                  <c:v>56949.2</c:v>
                </c:pt>
                <c:pt idx="7">
                  <c:v>57256.3</c:v>
                </c:pt>
                <c:pt idx="8">
                  <c:v>57213.55</c:v>
                </c:pt>
                <c:pt idx="9">
                  <c:v>56956</c:v>
                </c:pt>
                <c:pt idx="10">
                  <c:v>56754.7</c:v>
                </c:pt>
                <c:pt idx="11">
                  <c:v>56754.7</c:v>
                </c:pt>
                <c:pt idx="12">
                  <c:v>56754.7</c:v>
                </c:pt>
                <c:pt idx="13">
                  <c:v>56765.35</c:v>
                </c:pt>
                <c:pt idx="14">
                  <c:v>57006.65</c:v>
                </c:pt>
                <c:pt idx="15">
                  <c:v>57168.95</c:v>
                </c:pt>
                <c:pt idx="16">
                  <c:v>56828.800000000003</c:v>
                </c:pt>
                <c:pt idx="17">
                  <c:v>56283</c:v>
                </c:pt>
                <c:pt idx="18">
                  <c:v>56283</c:v>
                </c:pt>
                <c:pt idx="19">
                  <c:v>56283</c:v>
                </c:pt>
                <c:pt idx="20">
                  <c:v>56952.75</c:v>
                </c:pt>
                <c:pt idx="21">
                  <c:v>56756</c:v>
                </c:pt>
                <c:pt idx="22">
                  <c:v>57210.45</c:v>
                </c:pt>
                <c:pt idx="23">
                  <c:v>57066.05</c:v>
                </c:pt>
                <c:pt idx="24">
                  <c:v>56528.9</c:v>
                </c:pt>
                <c:pt idx="25">
                  <c:v>56528.9</c:v>
                </c:pt>
                <c:pt idx="26">
                  <c:v>56528.9</c:v>
                </c:pt>
                <c:pt idx="27">
                  <c:v>56084.9</c:v>
                </c:pt>
                <c:pt idx="28">
                  <c:v>56222</c:v>
                </c:pt>
                <c:pt idx="29">
                  <c:v>56150.7</c:v>
                </c:pt>
                <c:pt idx="30">
                  <c:v>55961.95</c:v>
                </c:pt>
                <c:pt idx="31">
                  <c:v>55617.599999999999</c:v>
                </c:pt>
                <c:pt idx="32">
                  <c:v>55617.599999999999</c:v>
                </c:pt>
                <c:pt idx="33">
                  <c:v>55617.599999999999</c:v>
                </c:pt>
                <c:pt idx="34">
                  <c:v>55619.35</c:v>
                </c:pt>
                <c:pt idx="35">
                  <c:v>55360.25</c:v>
                </c:pt>
                <c:pt idx="36">
                  <c:v>55411.15</c:v>
                </c:pt>
                <c:pt idx="37">
                  <c:v>55521.15</c:v>
                </c:pt>
                <c:pt idx="38">
                  <c:v>55004.9</c:v>
                </c:pt>
                <c:pt idx="39">
                  <c:v>55004.9</c:v>
                </c:pt>
                <c:pt idx="40">
                  <c:v>55004.9</c:v>
                </c:pt>
                <c:pt idx="41">
                  <c:v>55510.75</c:v>
                </c:pt>
                <c:pt idx="42">
                  <c:v>55043.7</c:v>
                </c:pt>
                <c:pt idx="43">
                  <c:v>55181.45</c:v>
                </c:pt>
                <c:pt idx="44">
                  <c:v>55341.85</c:v>
                </c:pt>
                <c:pt idx="45">
                  <c:v>55341.85</c:v>
                </c:pt>
                <c:pt idx="46">
                  <c:v>55341.85</c:v>
                </c:pt>
                <c:pt idx="47">
                  <c:v>55341.85</c:v>
                </c:pt>
                <c:pt idx="48">
                  <c:v>55734.9</c:v>
                </c:pt>
                <c:pt idx="49">
                  <c:v>55865.15</c:v>
                </c:pt>
                <c:pt idx="50">
                  <c:v>55698.5</c:v>
                </c:pt>
                <c:pt idx="51">
                  <c:v>55755.45</c:v>
                </c:pt>
                <c:pt idx="52">
                  <c:v>55149.4</c:v>
                </c:pt>
                <c:pt idx="53">
                  <c:v>55149.4</c:v>
                </c:pt>
                <c:pt idx="54">
                  <c:v>55149.4</c:v>
                </c:pt>
                <c:pt idx="55">
                  <c:v>55139.3</c:v>
                </c:pt>
                <c:pt idx="56">
                  <c:v>54450.45</c:v>
                </c:pt>
                <c:pt idx="57">
                  <c:v>54450.45</c:v>
                </c:pt>
                <c:pt idx="58">
                  <c:v>53820.35</c:v>
                </c:pt>
                <c:pt idx="59">
                  <c:v>53655.65</c:v>
                </c:pt>
                <c:pt idx="60">
                  <c:v>53655.65</c:v>
                </c:pt>
                <c:pt idx="61">
                  <c:v>53655.65</c:v>
                </c:pt>
                <c:pt idx="62">
                  <c:v>54002.45</c:v>
                </c:pt>
                <c:pt idx="63">
                  <c:v>53661</c:v>
                </c:pt>
                <c:pt idx="64">
                  <c:v>54067.55</c:v>
                </c:pt>
                <c:pt idx="65">
                  <c:v>54075.45</c:v>
                </c:pt>
                <c:pt idx="66">
                  <c:v>54114.55</c:v>
                </c:pt>
                <c:pt idx="67">
                  <c:v>54114.55</c:v>
                </c:pt>
                <c:pt idx="68">
                  <c:v>54114.55</c:v>
                </c:pt>
                <c:pt idx="69">
                  <c:v>54186.9</c:v>
                </c:pt>
                <c:pt idx="70">
                  <c:v>54216.1</c:v>
                </c:pt>
                <c:pt idx="71">
                  <c:v>54536</c:v>
                </c:pt>
                <c:pt idx="72">
                  <c:v>54669.599999999999</c:v>
                </c:pt>
                <c:pt idx="73">
                  <c:v>54809.3</c:v>
                </c:pt>
                <c:pt idx="74">
                  <c:v>54809.3</c:v>
                </c:pt>
                <c:pt idx="75">
                  <c:v>54809.3</c:v>
                </c:pt>
                <c:pt idx="76">
                  <c:v>54887.85</c:v>
                </c:pt>
                <c:pt idx="77">
                  <c:v>55147.6</c:v>
                </c:pt>
                <c:pt idx="78">
                  <c:v>55493.3</c:v>
                </c:pt>
                <c:pt idx="79">
                  <c:v>55727.45</c:v>
                </c:pt>
                <c:pt idx="80">
                  <c:v>55458.85</c:v>
                </c:pt>
                <c:pt idx="81">
                  <c:v>55458.85</c:v>
                </c:pt>
                <c:pt idx="82">
                  <c:v>55458.85</c:v>
                </c:pt>
                <c:pt idx="83">
                  <c:v>55284.75</c:v>
                </c:pt>
                <c:pt idx="84">
                  <c:v>55509.75</c:v>
                </c:pt>
                <c:pt idx="85">
                  <c:v>55121.5</c:v>
                </c:pt>
                <c:pt idx="86">
                  <c:v>54976.2</c:v>
                </c:pt>
                <c:pt idx="87">
                  <c:v>54389.35</c:v>
                </c:pt>
                <c:pt idx="88">
                  <c:v>54389.35</c:v>
                </c:pt>
                <c:pt idx="89">
                  <c:v>54389.35</c:v>
                </c:pt>
                <c:pt idx="90">
                  <c:v>54461</c:v>
                </c:pt>
                <c:pt idx="91">
                  <c:v>54635.85</c:v>
                </c:pt>
                <c:pt idx="92">
                  <c:v>55347.95</c:v>
                </c:pt>
                <c:pt idx="93">
                  <c:v>55347.95</c:v>
                </c:pt>
                <c:pt idx="94">
                  <c:v>55589.25</c:v>
                </c:pt>
                <c:pt idx="95">
                  <c:v>55589.25</c:v>
                </c:pt>
                <c:pt idx="96">
                  <c:v>55589.25</c:v>
                </c:pt>
                <c:pt idx="97">
                  <c:v>56104.85</c:v>
                </c:pt>
                <c:pt idx="98">
                  <c:v>56239.35</c:v>
                </c:pt>
                <c:pt idx="99">
                  <c:v>56018.25</c:v>
                </c:pt>
                <c:pt idx="100">
                  <c:v>56192.05</c:v>
                </c:pt>
                <c:pt idx="101">
                  <c:v>56609.75</c:v>
                </c:pt>
                <c:pt idx="102">
                  <c:v>56609.75</c:v>
                </c:pt>
                <c:pt idx="103">
                  <c:v>56609.75</c:v>
                </c:pt>
                <c:pt idx="104">
                  <c:v>56625</c:v>
                </c:pt>
                <c:pt idx="105">
                  <c:v>56496.45</c:v>
                </c:pt>
                <c:pt idx="106">
                  <c:v>56799.9</c:v>
                </c:pt>
                <c:pt idx="107">
                  <c:v>57422.55</c:v>
                </c:pt>
                <c:pt idx="108">
                  <c:v>57713.35</c:v>
                </c:pt>
                <c:pt idx="109">
                  <c:v>57713.35</c:v>
                </c:pt>
                <c:pt idx="110">
                  <c:v>57713.35</c:v>
                </c:pt>
                <c:pt idx="111">
                  <c:v>58033.2</c:v>
                </c:pt>
                <c:pt idx="112">
                  <c:v>58007.199999999997</c:v>
                </c:pt>
                <c:pt idx="113">
                  <c:v>58007.199999999997</c:v>
                </c:pt>
                <c:pt idx="114">
                  <c:v>58078.05</c:v>
                </c:pt>
                <c:pt idx="115">
                  <c:v>57699.6</c:v>
                </c:pt>
                <c:pt idx="116">
                  <c:v>57699.6</c:v>
                </c:pt>
                <c:pt idx="117">
                  <c:v>57699.6</c:v>
                </c:pt>
                <c:pt idx="118">
                  <c:v>58114.25</c:v>
                </c:pt>
                <c:pt idx="119">
                  <c:v>58214.1</c:v>
                </c:pt>
                <c:pt idx="120">
                  <c:v>58385.25</c:v>
                </c:pt>
                <c:pt idx="121">
                  <c:v>58031.1</c:v>
                </c:pt>
                <c:pt idx="122">
                  <c:v>57776.35</c:v>
                </c:pt>
                <c:pt idx="123">
                  <c:v>57776.35</c:v>
                </c:pt>
                <c:pt idx="124">
                  <c:v>57776.35</c:v>
                </c:pt>
                <c:pt idx="125">
                  <c:v>58101.45</c:v>
                </c:pt>
                <c:pt idx="126">
                  <c:v>57827.05</c:v>
                </c:pt>
                <c:pt idx="127">
                  <c:v>57827.05</c:v>
                </c:pt>
                <c:pt idx="128">
                  <c:v>57554.25</c:v>
                </c:pt>
                <c:pt idx="129">
                  <c:v>57876.800000000003</c:v>
                </c:pt>
                <c:pt idx="130">
                  <c:v>57876.800000000003</c:v>
                </c:pt>
                <c:pt idx="131">
                  <c:v>57876.800000000003</c:v>
                </c:pt>
                <c:pt idx="132">
                  <c:v>57937.55</c:v>
                </c:pt>
                <c:pt idx="133">
                  <c:v>58138.15</c:v>
                </c:pt>
                <c:pt idx="134">
                  <c:v>58274.65</c:v>
                </c:pt>
                <c:pt idx="135">
                  <c:v>58381.95</c:v>
                </c:pt>
                <c:pt idx="136">
                  <c:v>58517.55</c:v>
                </c:pt>
                <c:pt idx="137">
                  <c:v>58517.55</c:v>
                </c:pt>
                <c:pt idx="138">
                  <c:v>58517.55</c:v>
                </c:pt>
                <c:pt idx="139">
                  <c:v>58962.7</c:v>
                </c:pt>
                <c:pt idx="140">
                  <c:v>58899.25</c:v>
                </c:pt>
                <c:pt idx="141">
                  <c:v>59216.05</c:v>
                </c:pt>
                <c:pt idx="142">
                  <c:v>59347.7</c:v>
                </c:pt>
                <c:pt idx="143">
                  <c:v>58867.7</c:v>
                </c:pt>
                <c:pt idx="144">
                  <c:v>58867.7</c:v>
                </c:pt>
                <c:pt idx="145">
                  <c:v>58867.7</c:v>
                </c:pt>
                <c:pt idx="146">
                  <c:v>58835.35</c:v>
                </c:pt>
                <c:pt idx="147">
                  <c:v>58820.3</c:v>
                </c:pt>
                <c:pt idx="148">
                  <c:v>59528.05</c:v>
                </c:pt>
                <c:pt idx="149">
                  <c:v>59737.3</c:v>
                </c:pt>
                <c:pt idx="150">
                  <c:v>59752.7</c:v>
                </c:pt>
                <c:pt idx="151">
                  <c:v>59752.7</c:v>
                </c:pt>
                <c:pt idx="152">
                  <c:v>59752.7</c:v>
                </c:pt>
                <c:pt idx="153">
                  <c:v>59681.35</c:v>
                </c:pt>
                <c:pt idx="154">
                  <c:v>59273.8</c:v>
                </c:pt>
                <c:pt idx="155">
                  <c:v>59348.25</c:v>
                </c:pt>
                <c:pt idx="156">
                  <c:v>59288.7</c:v>
                </c:pt>
                <c:pt idx="157">
                  <c:v>59777.2</c:v>
                </c:pt>
                <c:pt idx="158">
                  <c:v>59777.2</c:v>
                </c:pt>
                <c:pt idx="159">
                  <c:v>59777.2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C-4F3D-991A-6646D0BF0307}"/>
            </c:ext>
          </c:extLst>
        </c:ser>
        <c:ser>
          <c:idx val="1"/>
          <c:order val="1"/>
          <c:tx>
            <c:strRef>
              <c:f>Forecast_Model!$C$1</c:f>
              <c:strCache>
                <c:ptCount val="1"/>
                <c:pt idx="0">
                  <c:v>Forecast(Closing)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Forecast_Model!$A$2:$A$321</c:f>
              <c:numCache>
                <c:formatCode>m/d/yyyy</c:formatCode>
                <c:ptCount val="320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>
                  <c:v>46023</c:v>
                </c:pt>
                <c:pt idx="185">
                  <c:v>46024</c:v>
                </c:pt>
                <c:pt idx="186">
                  <c:v>46025</c:v>
                </c:pt>
                <c:pt idx="187">
                  <c:v>46026</c:v>
                </c:pt>
                <c:pt idx="188">
                  <c:v>46027</c:v>
                </c:pt>
                <c:pt idx="189">
                  <c:v>46028</c:v>
                </c:pt>
                <c:pt idx="190">
                  <c:v>46029</c:v>
                </c:pt>
                <c:pt idx="191">
                  <c:v>46030</c:v>
                </c:pt>
                <c:pt idx="192">
                  <c:v>46031</c:v>
                </c:pt>
                <c:pt idx="193">
                  <c:v>46032</c:v>
                </c:pt>
                <c:pt idx="194">
                  <c:v>46033</c:v>
                </c:pt>
                <c:pt idx="195">
                  <c:v>46034</c:v>
                </c:pt>
                <c:pt idx="196">
                  <c:v>46035</c:v>
                </c:pt>
                <c:pt idx="197">
                  <c:v>46036</c:v>
                </c:pt>
                <c:pt idx="198">
                  <c:v>46037</c:v>
                </c:pt>
                <c:pt idx="199">
                  <c:v>46038</c:v>
                </c:pt>
                <c:pt idx="200">
                  <c:v>46039</c:v>
                </c:pt>
                <c:pt idx="201">
                  <c:v>46040</c:v>
                </c:pt>
                <c:pt idx="202">
                  <c:v>46041</c:v>
                </c:pt>
                <c:pt idx="203">
                  <c:v>46042</c:v>
                </c:pt>
                <c:pt idx="204">
                  <c:v>46043</c:v>
                </c:pt>
                <c:pt idx="205">
                  <c:v>46044</c:v>
                </c:pt>
                <c:pt idx="206">
                  <c:v>46045</c:v>
                </c:pt>
                <c:pt idx="207">
                  <c:v>46046</c:v>
                </c:pt>
                <c:pt idx="208">
                  <c:v>46047</c:v>
                </c:pt>
                <c:pt idx="209">
                  <c:v>46048</c:v>
                </c:pt>
                <c:pt idx="210">
                  <c:v>46049</c:v>
                </c:pt>
                <c:pt idx="211">
                  <c:v>46050</c:v>
                </c:pt>
                <c:pt idx="212">
                  <c:v>46051</c:v>
                </c:pt>
                <c:pt idx="213">
                  <c:v>46052</c:v>
                </c:pt>
                <c:pt idx="214">
                  <c:v>46053</c:v>
                </c:pt>
                <c:pt idx="215">
                  <c:v>46054</c:v>
                </c:pt>
                <c:pt idx="216">
                  <c:v>46055</c:v>
                </c:pt>
                <c:pt idx="217">
                  <c:v>46056</c:v>
                </c:pt>
                <c:pt idx="218">
                  <c:v>46057</c:v>
                </c:pt>
                <c:pt idx="219">
                  <c:v>46058</c:v>
                </c:pt>
                <c:pt idx="220">
                  <c:v>46059</c:v>
                </c:pt>
                <c:pt idx="221">
                  <c:v>46060</c:v>
                </c:pt>
                <c:pt idx="222">
                  <c:v>46061</c:v>
                </c:pt>
                <c:pt idx="223">
                  <c:v>46062</c:v>
                </c:pt>
                <c:pt idx="224">
                  <c:v>46063</c:v>
                </c:pt>
                <c:pt idx="225">
                  <c:v>46064</c:v>
                </c:pt>
                <c:pt idx="226">
                  <c:v>46065</c:v>
                </c:pt>
                <c:pt idx="227">
                  <c:v>46066</c:v>
                </c:pt>
                <c:pt idx="228">
                  <c:v>46067</c:v>
                </c:pt>
                <c:pt idx="229">
                  <c:v>46068</c:v>
                </c:pt>
                <c:pt idx="230">
                  <c:v>46069</c:v>
                </c:pt>
                <c:pt idx="231">
                  <c:v>46070</c:v>
                </c:pt>
                <c:pt idx="232">
                  <c:v>46071</c:v>
                </c:pt>
                <c:pt idx="233">
                  <c:v>46072</c:v>
                </c:pt>
                <c:pt idx="234">
                  <c:v>46073</c:v>
                </c:pt>
                <c:pt idx="235">
                  <c:v>46074</c:v>
                </c:pt>
                <c:pt idx="236">
                  <c:v>46075</c:v>
                </c:pt>
                <c:pt idx="237">
                  <c:v>46076</c:v>
                </c:pt>
                <c:pt idx="238">
                  <c:v>46077</c:v>
                </c:pt>
                <c:pt idx="239">
                  <c:v>46078</c:v>
                </c:pt>
                <c:pt idx="240">
                  <c:v>46079</c:v>
                </c:pt>
                <c:pt idx="241">
                  <c:v>46080</c:v>
                </c:pt>
                <c:pt idx="242">
                  <c:v>46081</c:v>
                </c:pt>
                <c:pt idx="243">
                  <c:v>46082</c:v>
                </c:pt>
                <c:pt idx="244">
                  <c:v>46083</c:v>
                </c:pt>
                <c:pt idx="245">
                  <c:v>46084</c:v>
                </c:pt>
                <c:pt idx="246">
                  <c:v>46085</c:v>
                </c:pt>
                <c:pt idx="247">
                  <c:v>46086</c:v>
                </c:pt>
                <c:pt idx="248">
                  <c:v>46087</c:v>
                </c:pt>
                <c:pt idx="249">
                  <c:v>46088</c:v>
                </c:pt>
                <c:pt idx="250">
                  <c:v>46089</c:v>
                </c:pt>
                <c:pt idx="251">
                  <c:v>46090</c:v>
                </c:pt>
                <c:pt idx="252">
                  <c:v>46091</c:v>
                </c:pt>
                <c:pt idx="253">
                  <c:v>46092</c:v>
                </c:pt>
                <c:pt idx="254">
                  <c:v>46093</c:v>
                </c:pt>
                <c:pt idx="255">
                  <c:v>46094</c:v>
                </c:pt>
                <c:pt idx="256">
                  <c:v>46095</c:v>
                </c:pt>
                <c:pt idx="257">
                  <c:v>46096</c:v>
                </c:pt>
                <c:pt idx="258">
                  <c:v>46097</c:v>
                </c:pt>
                <c:pt idx="259">
                  <c:v>46098</c:v>
                </c:pt>
                <c:pt idx="260">
                  <c:v>46099</c:v>
                </c:pt>
                <c:pt idx="261">
                  <c:v>46100</c:v>
                </c:pt>
                <c:pt idx="262">
                  <c:v>46101</c:v>
                </c:pt>
                <c:pt idx="263">
                  <c:v>46102</c:v>
                </c:pt>
                <c:pt idx="264">
                  <c:v>46103</c:v>
                </c:pt>
                <c:pt idx="265">
                  <c:v>46104</c:v>
                </c:pt>
                <c:pt idx="266">
                  <c:v>46105</c:v>
                </c:pt>
                <c:pt idx="267">
                  <c:v>46106</c:v>
                </c:pt>
                <c:pt idx="268">
                  <c:v>46107</c:v>
                </c:pt>
                <c:pt idx="269">
                  <c:v>46108</c:v>
                </c:pt>
                <c:pt idx="270">
                  <c:v>46109</c:v>
                </c:pt>
                <c:pt idx="271">
                  <c:v>46110</c:v>
                </c:pt>
                <c:pt idx="272">
                  <c:v>46111</c:v>
                </c:pt>
                <c:pt idx="273">
                  <c:v>46112</c:v>
                </c:pt>
                <c:pt idx="274">
                  <c:v>46113</c:v>
                </c:pt>
                <c:pt idx="275">
                  <c:v>46114</c:v>
                </c:pt>
                <c:pt idx="276">
                  <c:v>46115</c:v>
                </c:pt>
                <c:pt idx="277">
                  <c:v>46116</c:v>
                </c:pt>
                <c:pt idx="278">
                  <c:v>46117</c:v>
                </c:pt>
                <c:pt idx="279">
                  <c:v>46118</c:v>
                </c:pt>
                <c:pt idx="280">
                  <c:v>46119</c:v>
                </c:pt>
                <c:pt idx="281">
                  <c:v>46120</c:v>
                </c:pt>
                <c:pt idx="282">
                  <c:v>46121</c:v>
                </c:pt>
                <c:pt idx="283">
                  <c:v>46122</c:v>
                </c:pt>
                <c:pt idx="284">
                  <c:v>46123</c:v>
                </c:pt>
                <c:pt idx="285">
                  <c:v>46124</c:v>
                </c:pt>
                <c:pt idx="286">
                  <c:v>46125</c:v>
                </c:pt>
                <c:pt idx="287">
                  <c:v>46126</c:v>
                </c:pt>
                <c:pt idx="288">
                  <c:v>46127</c:v>
                </c:pt>
                <c:pt idx="289">
                  <c:v>46128</c:v>
                </c:pt>
                <c:pt idx="290">
                  <c:v>46129</c:v>
                </c:pt>
                <c:pt idx="291">
                  <c:v>46130</c:v>
                </c:pt>
                <c:pt idx="292">
                  <c:v>46131</c:v>
                </c:pt>
                <c:pt idx="293">
                  <c:v>46132</c:v>
                </c:pt>
                <c:pt idx="294">
                  <c:v>46133</c:v>
                </c:pt>
                <c:pt idx="295">
                  <c:v>46134</c:v>
                </c:pt>
                <c:pt idx="296">
                  <c:v>46135</c:v>
                </c:pt>
                <c:pt idx="297">
                  <c:v>46136</c:v>
                </c:pt>
                <c:pt idx="298">
                  <c:v>46137</c:v>
                </c:pt>
                <c:pt idx="299">
                  <c:v>46138</c:v>
                </c:pt>
                <c:pt idx="300">
                  <c:v>46139</c:v>
                </c:pt>
                <c:pt idx="301">
                  <c:v>46140</c:v>
                </c:pt>
                <c:pt idx="302">
                  <c:v>46141</c:v>
                </c:pt>
                <c:pt idx="303">
                  <c:v>46142</c:v>
                </c:pt>
                <c:pt idx="304">
                  <c:v>46143</c:v>
                </c:pt>
                <c:pt idx="305">
                  <c:v>46144</c:v>
                </c:pt>
                <c:pt idx="306">
                  <c:v>46145</c:v>
                </c:pt>
                <c:pt idx="307">
                  <c:v>46146</c:v>
                </c:pt>
                <c:pt idx="308">
                  <c:v>46147</c:v>
                </c:pt>
                <c:pt idx="309">
                  <c:v>46148</c:v>
                </c:pt>
                <c:pt idx="310">
                  <c:v>46149</c:v>
                </c:pt>
                <c:pt idx="311">
                  <c:v>46150</c:v>
                </c:pt>
                <c:pt idx="312">
                  <c:v>46151</c:v>
                </c:pt>
                <c:pt idx="313">
                  <c:v>46152</c:v>
                </c:pt>
                <c:pt idx="314">
                  <c:v>46153</c:v>
                </c:pt>
                <c:pt idx="315">
                  <c:v>46154</c:v>
                </c:pt>
                <c:pt idx="316">
                  <c:v>46155</c:v>
                </c:pt>
                <c:pt idx="317">
                  <c:v>46156</c:v>
                </c:pt>
                <c:pt idx="318">
                  <c:v>46157</c:v>
                </c:pt>
                <c:pt idx="319">
                  <c:v>46158</c:v>
                </c:pt>
              </c:numCache>
            </c:numRef>
          </c:cat>
          <c:val>
            <c:numRef>
              <c:f>Forecast_Model!$C$2:$C$321</c:f>
              <c:numCache>
                <c:formatCode>General</c:formatCode>
                <c:ptCount val="320"/>
                <c:pt idx="159">
                  <c:v>59777.2</c:v>
                </c:pt>
                <c:pt idx="160">
                  <c:v>59799.246445083401</c:v>
                </c:pt>
                <c:pt idx="161">
                  <c:v>59819.521772750239</c:v>
                </c:pt>
                <c:pt idx="162">
                  <c:v>59839.797100417069</c:v>
                </c:pt>
                <c:pt idx="163">
                  <c:v>59860.072428083906</c:v>
                </c:pt>
                <c:pt idx="164">
                  <c:v>59880.347755750736</c:v>
                </c:pt>
                <c:pt idx="165">
                  <c:v>59900.623083417573</c:v>
                </c:pt>
                <c:pt idx="166">
                  <c:v>59920.898411084403</c:v>
                </c:pt>
                <c:pt idx="167">
                  <c:v>59941.17373875124</c:v>
                </c:pt>
                <c:pt idx="168">
                  <c:v>59961.44906641807</c:v>
                </c:pt>
                <c:pt idx="169">
                  <c:v>59981.724394084908</c:v>
                </c:pt>
                <c:pt idx="170">
                  <c:v>60001.999721751738</c:v>
                </c:pt>
                <c:pt idx="171">
                  <c:v>60022.275049418575</c:v>
                </c:pt>
                <c:pt idx="172">
                  <c:v>60042.550377085405</c:v>
                </c:pt>
                <c:pt idx="173">
                  <c:v>60062.825704752242</c:v>
                </c:pt>
                <c:pt idx="174">
                  <c:v>60083.101032419072</c:v>
                </c:pt>
                <c:pt idx="175">
                  <c:v>60103.376360085909</c:v>
                </c:pt>
                <c:pt idx="176">
                  <c:v>60123.651687752739</c:v>
                </c:pt>
                <c:pt idx="177">
                  <c:v>60143.927015419576</c:v>
                </c:pt>
                <c:pt idx="178">
                  <c:v>60164.202343086406</c:v>
                </c:pt>
                <c:pt idx="179">
                  <c:v>60184.477670753244</c:v>
                </c:pt>
                <c:pt idx="180">
                  <c:v>60204.752998420074</c:v>
                </c:pt>
                <c:pt idx="181">
                  <c:v>60225.028326086911</c:v>
                </c:pt>
                <c:pt idx="182">
                  <c:v>60245.303653753741</c:v>
                </c:pt>
                <c:pt idx="183">
                  <c:v>60265.578981420578</c:v>
                </c:pt>
                <c:pt idx="184">
                  <c:v>60285.854309087408</c:v>
                </c:pt>
                <c:pt idx="185">
                  <c:v>60306.129636754245</c:v>
                </c:pt>
                <c:pt idx="186">
                  <c:v>60326.404964421075</c:v>
                </c:pt>
                <c:pt idx="187">
                  <c:v>60346.680292087913</c:v>
                </c:pt>
                <c:pt idx="188">
                  <c:v>60366.955619754743</c:v>
                </c:pt>
                <c:pt idx="189">
                  <c:v>60387.23094742158</c:v>
                </c:pt>
                <c:pt idx="190">
                  <c:v>60407.50627508841</c:v>
                </c:pt>
                <c:pt idx="191">
                  <c:v>60427.781602755247</c:v>
                </c:pt>
                <c:pt idx="192">
                  <c:v>60448.056930422077</c:v>
                </c:pt>
                <c:pt idx="193">
                  <c:v>60468.332258088914</c:v>
                </c:pt>
                <c:pt idx="194">
                  <c:v>60488.607585755744</c:v>
                </c:pt>
                <c:pt idx="195">
                  <c:v>60508.882913422582</c:v>
                </c:pt>
                <c:pt idx="196">
                  <c:v>60529.158241089412</c:v>
                </c:pt>
                <c:pt idx="197">
                  <c:v>60549.433568756249</c:v>
                </c:pt>
                <c:pt idx="198">
                  <c:v>60569.708896423079</c:v>
                </c:pt>
                <c:pt idx="199">
                  <c:v>60589.984224089916</c:v>
                </c:pt>
                <c:pt idx="200">
                  <c:v>60610.259551756746</c:v>
                </c:pt>
                <c:pt idx="201">
                  <c:v>60630.534879423583</c:v>
                </c:pt>
                <c:pt idx="202">
                  <c:v>60650.810207090413</c:v>
                </c:pt>
                <c:pt idx="203">
                  <c:v>60671.085534757251</c:v>
                </c:pt>
                <c:pt idx="204">
                  <c:v>60691.360862424081</c:v>
                </c:pt>
                <c:pt idx="205">
                  <c:v>60711.636190090918</c:v>
                </c:pt>
                <c:pt idx="206">
                  <c:v>60731.911517757748</c:v>
                </c:pt>
                <c:pt idx="207">
                  <c:v>60752.186845424585</c:v>
                </c:pt>
                <c:pt idx="208">
                  <c:v>60772.462173091415</c:v>
                </c:pt>
                <c:pt idx="209">
                  <c:v>60792.737500758252</c:v>
                </c:pt>
                <c:pt idx="210">
                  <c:v>60813.012828425082</c:v>
                </c:pt>
                <c:pt idx="211">
                  <c:v>60833.28815609192</c:v>
                </c:pt>
                <c:pt idx="212">
                  <c:v>60853.563483758749</c:v>
                </c:pt>
                <c:pt idx="213">
                  <c:v>60873.838811425587</c:v>
                </c:pt>
                <c:pt idx="214">
                  <c:v>60894.114139092417</c:v>
                </c:pt>
                <c:pt idx="215">
                  <c:v>60914.389466759254</c:v>
                </c:pt>
                <c:pt idx="216">
                  <c:v>60934.664794426084</c:v>
                </c:pt>
                <c:pt idx="217">
                  <c:v>60954.940122092921</c:v>
                </c:pt>
                <c:pt idx="218">
                  <c:v>60975.215449759751</c:v>
                </c:pt>
                <c:pt idx="219">
                  <c:v>60995.490777426588</c:v>
                </c:pt>
                <c:pt idx="220">
                  <c:v>61015.766105093418</c:v>
                </c:pt>
                <c:pt idx="221">
                  <c:v>61036.041432760248</c:v>
                </c:pt>
                <c:pt idx="222">
                  <c:v>61056.316760427086</c:v>
                </c:pt>
                <c:pt idx="223">
                  <c:v>61076.592088093923</c:v>
                </c:pt>
                <c:pt idx="224">
                  <c:v>61096.867415760753</c:v>
                </c:pt>
                <c:pt idx="225">
                  <c:v>61117.142743427583</c:v>
                </c:pt>
                <c:pt idx="226">
                  <c:v>61137.41807109442</c:v>
                </c:pt>
                <c:pt idx="227">
                  <c:v>61157.69339876125</c:v>
                </c:pt>
                <c:pt idx="228">
                  <c:v>61177.968726428087</c:v>
                </c:pt>
                <c:pt idx="229">
                  <c:v>61198.244054094917</c:v>
                </c:pt>
                <c:pt idx="230">
                  <c:v>61218.519381761755</c:v>
                </c:pt>
                <c:pt idx="231">
                  <c:v>61238.794709428585</c:v>
                </c:pt>
                <c:pt idx="232">
                  <c:v>61259.070037095422</c:v>
                </c:pt>
                <c:pt idx="233">
                  <c:v>61279.345364762252</c:v>
                </c:pt>
                <c:pt idx="234">
                  <c:v>61299.620692429089</c:v>
                </c:pt>
                <c:pt idx="235">
                  <c:v>61319.896020095919</c:v>
                </c:pt>
                <c:pt idx="236">
                  <c:v>61340.171347762756</c:v>
                </c:pt>
                <c:pt idx="237">
                  <c:v>61360.446675429586</c:v>
                </c:pt>
                <c:pt idx="238">
                  <c:v>61380.722003096424</c:v>
                </c:pt>
                <c:pt idx="239">
                  <c:v>61400.997330763254</c:v>
                </c:pt>
                <c:pt idx="240">
                  <c:v>61421.272658430091</c:v>
                </c:pt>
                <c:pt idx="241">
                  <c:v>61441.547986096921</c:v>
                </c:pt>
                <c:pt idx="242">
                  <c:v>61461.823313763758</c:v>
                </c:pt>
                <c:pt idx="243">
                  <c:v>61482.098641430588</c:v>
                </c:pt>
                <c:pt idx="244">
                  <c:v>61502.373969097425</c:v>
                </c:pt>
                <c:pt idx="245">
                  <c:v>61522.649296764255</c:v>
                </c:pt>
                <c:pt idx="246">
                  <c:v>61542.924624431093</c:v>
                </c:pt>
                <c:pt idx="247">
                  <c:v>61563.199952097923</c:v>
                </c:pt>
                <c:pt idx="248">
                  <c:v>61583.47527976476</c:v>
                </c:pt>
                <c:pt idx="249">
                  <c:v>61603.75060743159</c:v>
                </c:pt>
                <c:pt idx="250">
                  <c:v>61624.025935098427</c:v>
                </c:pt>
                <c:pt idx="251">
                  <c:v>61644.301262765257</c:v>
                </c:pt>
                <c:pt idx="252">
                  <c:v>61664.576590432094</c:v>
                </c:pt>
                <c:pt idx="253">
                  <c:v>61684.851918098924</c:v>
                </c:pt>
                <c:pt idx="254">
                  <c:v>61705.127245765761</c:v>
                </c:pt>
                <c:pt idx="255">
                  <c:v>61725.402573432591</c:v>
                </c:pt>
                <c:pt idx="256">
                  <c:v>61745.677901099429</c:v>
                </c:pt>
                <c:pt idx="257">
                  <c:v>61765.953228766259</c:v>
                </c:pt>
                <c:pt idx="258">
                  <c:v>61786.228556433096</c:v>
                </c:pt>
                <c:pt idx="259">
                  <c:v>61806.503884099926</c:v>
                </c:pt>
                <c:pt idx="260">
                  <c:v>61826.779211766763</c:v>
                </c:pt>
                <c:pt idx="261">
                  <c:v>61847.054539433593</c:v>
                </c:pt>
                <c:pt idx="262">
                  <c:v>61867.32986710043</c:v>
                </c:pt>
                <c:pt idx="263">
                  <c:v>61887.60519476726</c:v>
                </c:pt>
                <c:pt idx="264">
                  <c:v>61907.880522434098</c:v>
                </c:pt>
                <c:pt idx="265">
                  <c:v>61928.155850100928</c:v>
                </c:pt>
                <c:pt idx="266">
                  <c:v>61948.431177767765</c:v>
                </c:pt>
                <c:pt idx="267">
                  <c:v>61968.706505434595</c:v>
                </c:pt>
                <c:pt idx="268">
                  <c:v>61988.981833101432</c:v>
                </c:pt>
                <c:pt idx="269">
                  <c:v>62009.257160768262</c:v>
                </c:pt>
                <c:pt idx="270">
                  <c:v>62029.532488435099</c:v>
                </c:pt>
                <c:pt idx="271">
                  <c:v>62049.807816101929</c:v>
                </c:pt>
                <c:pt idx="272">
                  <c:v>62070.083143768767</c:v>
                </c:pt>
                <c:pt idx="273">
                  <c:v>62090.358471435597</c:v>
                </c:pt>
                <c:pt idx="274">
                  <c:v>62110.633799102434</c:v>
                </c:pt>
                <c:pt idx="275">
                  <c:v>62130.909126769264</c:v>
                </c:pt>
                <c:pt idx="276">
                  <c:v>62151.184454436101</c:v>
                </c:pt>
                <c:pt idx="277">
                  <c:v>62171.459782102931</c:v>
                </c:pt>
                <c:pt idx="278">
                  <c:v>62191.735109769768</c:v>
                </c:pt>
                <c:pt idx="279">
                  <c:v>62212.010437436598</c:v>
                </c:pt>
                <c:pt idx="280">
                  <c:v>62232.285765103436</c:v>
                </c:pt>
                <c:pt idx="281">
                  <c:v>62252.561092770266</c:v>
                </c:pt>
                <c:pt idx="282">
                  <c:v>62272.836420437103</c:v>
                </c:pt>
                <c:pt idx="283">
                  <c:v>62293.111748103933</c:v>
                </c:pt>
                <c:pt idx="284">
                  <c:v>62313.387075770763</c:v>
                </c:pt>
                <c:pt idx="285">
                  <c:v>62333.6624034376</c:v>
                </c:pt>
                <c:pt idx="286">
                  <c:v>62353.937731104437</c:v>
                </c:pt>
                <c:pt idx="287">
                  <c:v>62374.213058771267</c:v>
                </c:pt>
                <c:pt idx="288">
                  <c:v>62394.488386438097</c:v>
                </c:pt>
                <c:pt idx="289">
                  <c:v>62414.763714104934</c:v>
                </c:pt>
                <c:pt idx="290">
                  <c:v>62435.039041771772</c:v>
                </c:pt>
                <c:pt idx="291">
                  <c:v>62455.314369438602</c:v>
                </c:pt>
                <c:pt idx="292">
                  <c:v>62475.589697105432</c:v>
                </c:pt>
                <c:pt idx="293">
                  <c:v>62495.865024772269</c:v>
                </c:pt>
                <c:pt idx="294">
                  <c:v>62516.140352439099</c:v>
                </c:pt>
                <c:pt idx="295">
                  <c:v>62536.415680105936</c:v>
                </c:pt>
                <c:pt idx="296">
                  <c:v>62556.691007772766</c:v>
                </c:pt>
                <c:pt idx="297">
                  <c:v>62576.966335439603</c:v>
                </c:pt>
                <c:pt idx="298">
                  <c:v>62597.241663106433</c:v>
                </c:pt>
                <c:pt idx="299">
                  <c:v>62617.516990773271</c:v>
                </c:pt>
                <c:pt idx="300">
                  <c:v>62637.792318440101</c:v>
                </c:pt>
                <c:pt idx="301">
                  <c:v>62658.067646106938</c:v>
                </c:pt>
                <c:pt idx="302">
                  <c:v>62678.342973773768</c:v>
                </c:pt>
                <c:pt idx="303">
                  <c:v>62698.618301440605</c:v>
                </c:pt>
                <c:pt idx="304">
                  <c:v>62718.893629107435</c:v>
                </c:pt>
                <c:pt idx="305">
                  <c:v>62739.168956774272</c:v>
                </c:pt>
                <c:pt idx="306">
                  <c:v>62759.444284441102</c:v>
                </c:pt>
                <c:pt idx="307">
                  <c:v>62779.71961210794</c:v>
                </c:pt>
                <c:pt idx="308">
                  <c:v>62799.99493977477</c:v>
                </c:pt>
                <c:pt idx="309">
                  <c:v>62820.270267441607</c:v>
                </c:pt>
                <c:pt idx="310">
                  <c:v>62840.545595108437</c:v>
                </c:pt>
                <c:pt idx="311">
                  <c:v>62860.820922775274</c:v>
                </c:pt>
                <c:pt idx="312">
                  <c:v>62881.096250442104</c:v>
                </c:pt>
                <c:pt idx="313">
                  <c:v>62901.371578108941</c:v>
                </c:pt>
                <c:pt idx="314">
                  <c:v>62921.646905775771</c:v>
                </c:pt>
                <c:pt idx="315">
                  <c:v>62941.922233442609</c:v>
                </c:pt>
                <c:pt idx="316">
                  <c:v>62962.197561109439</c:v>
                </c:pt>
                <c:pt idx="317">
                  <c:v>62982.472888776276</c:v>
                </c:pt>
                <c:pt idx="318">
                  <c:v>63002.748216443106</c:v>
                </c:pt>
                <c:pt idx="319">
                  <c:v>63023.023544109943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C-4F3D-991A-6646D0BF0307}"/>
            </c:ext>
          </c:extLst>
        </c:ser>
        <c:ser>
          <c:idx val="2"/>
          <c:order val="2"/>
          <c:tx>
            <c:strRef>
              <c:f>Forecast_Model!$D$1</c:f>
              <c:strCache>
                <c:ptCount val="1"/>
                <c:pt idx="0">
                  <c:v>Lower Confidence Bound(Closing)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Forecast_Model!$A$2:$A$321</c:f>
              <c:numCache>
                <c:formatCode>m/d/yyyy</c:formatCode>
                <c:ptCount val="320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>
                  <c:v>46023</c:v>
                </c:pt>
                <c:pt idx="185">
                  <c:v>46024</c:v>
                </c:pt>
                <c:pt idx="186">
                  <c:v>46025</c:v>
                </c:pt>
                <c:pt idx="187">
                  <c:v>46026</c:v>
                </c:pt>
                <c:pt idx="188">
                  <c:v>46027</c:v>
                </c:pt>
                <c:pt idx="189">
                  <c:v>46028</c:v>
                </c:pt>
                <c:pt idx="190">
                  <c:v>46029</c:v>
                </c:pt>
                <c:pt idx="191">
                  <c:v>46030</c:v>
                </c:pt>
                <c:pt idx="192">
                  <c:v>46031</c:v>
                </c:pt>
                <c:pt idx="193">
                  <c:v>46032</c:v>
                </c:pt>
                <c:pt idx="194">
                  <c:v>46033</c:v>
                </c:pt>
                <c:pt idx="195">
                  <c:v>46034</c:v>
                </c:pt>
                <c:pt idx="196">
                  <c:v>46035</c:v>
                </c:pt>
                <c:pt idx="197">
                  <c:v>46036</c:v>
                </c:pt>
                <c:pt idx="198">
                  <c:v>46037</c:v>
                </c:pt>
                <c:pt idx="199">
                  <c:v>46038</c:v>
                </c:pt>
                <c:pt idx="200">
                  <c:v>46039</c:v>
                </c:pt>
                <c:pt idx="201">
                  <c:v>46040</c:v>
                </c:pt>
                <c:pt idx="202">
                  <c:v>46041</c:v>
                </c:pt>
                <c:pt idx="203">
                  <c:v>46042</c:v>
                </c:pt>
                <c:pt idx="204">
                  <c:v>46043</c:v>
                </c:pt>
                <c:pt idx="205">
                  <c:v>46044</c:v>
                </c:pt>
                <c:pt idx="206">
                  <c:v>46045</c:v>
                </c:pt>
                <c:pt idx="207">
                  <c:v>46046</c:v>
                </c:pt>
                <c:pt idx="208">
                  <c:v>46047</c:v>
                </c:pt>
                <c:pt idx="209">
                  <c:v>46048</c:v>
                </c:pt>
                <c:pt idx="210">
                  <c:v>46049</c:v>
                </c:pt>
                <c:pt idx="211">
                  <c:v>46050</c:v>
                </c:pt>
                <c:pt idx="212">
                  <c:v>46051</c:v>
                </c:pt>
                <c:pt idx="213">
                  <c:v>46052</c:v>
                </c:pt>
                <c:pt idx="214">
                  <c:v>46053</c:v>
                </c:pt>
                <c:pt idx="215">
                  <c:v>46054</c:v>
                </c:pt>
                <c:pt idx="216">
                  <c:v>46055</c:v>
                </c:pt>
                <c:pt idx="217">
                  <c:v>46056</c:v>
                </c:pt>
                <c:pt idx="218">
                  <c:v>46057</c:v>
                </c:pt>
                <c:pt idx="219">
                  <c:v>46058</c:v>
                </c:pt>
                <c:pt idx="220">
                  <c:v>46059</c:v>
                </c:pt>
                <c:pt idx="221">
                  <c:v>46060</c:v>
                </c:pt>
                <c:pt idx="222">
                  <c:v>46061</c:v>
                </c:pt>
                <c:pt idx="223">
                  <c:v>46062</c:v>
                </c:pt>
                <c:pt idx="224">
                  <c:v>46063</c:v>
                </c:pt>
                <c:pt idx="225">
                  <c:v>46064</c:v>
                </c:pt>
                <c:pt idx="226">
                  <c:v>46065</c:v>
                </c:pt>
                <c:pt idx="227">
                  <c:v>46066</c:v>
                </c:pt>
                <c:pt idx="228">
                  <c:v>46067</c:v>
                </c:pt>
                <c:pt idx="229">
                  <c:v>46068</c:v>
                </c:pt>
                <c:pt idx="230">
                  <c:v>46069</c:v>
                </c:pt>
                <c:pt idx="231">
                  <c:v>46070</c:v>
                </c:pt>
                <c:pt idx="232">
                  <c:v>46071</c:v>
                </c:pt>
                <c:pt idx="233">
                  <c:v>46072</c:v>
                </c:pt>
                <c:pt idx="234">
                  <c:v>46073</c:v>
                </c:pt>
                <c:pt idx="235">
                  <c:v>46074</c:v>
                </c:pt>
                <c:pt idx="236">
                  <c:v>46075</c:v>
                </c:pt>
                <c:pt idx="237">
                  <c:v>46076</c:v>
                </c:pt>
                <c:pt idx="238">
                  <c:v>46077</c:v>
                </c:pt>
                <c:pt idx="239">
                  <c:v>46078</c:v>
                </c:pt>
                <c:pt idx="240">
                  <c:v>46079</c:v>
                </c:pt>
                <c:pt idx="241">
                  <c:v>46080</c:v>
                </c:pt>
                <c:pt idx="242">
                  <c:v>46081</c:v>
                </c:pt>
                <c:pt idx="243">
                  <c:v>46082</c:v>
                </c:pt>
                <c:pt idx="244">
                  <c:v>46083</c:v>
                </c:pt>
                <c:pt idx="245">
                  <c:v>46084</c:v>
                </c:pt>
                <c:pt idx="246">
                  <c:v>46085</c:v>
                </c:pt>
                <c:pt idx="247">
                  <c:v>46086</c:v>
                </c:pt>
                <c:pt idx="248">
                  <c:v>46087</c:v>
                </c:pt>
                <c:pt idx="249">
                  <c:v>46088</c:v>
                </c:pt>
                <c:pt idx="250">
                  <c:v>46089</c:v>
                </c:pt>
                <c:pt idx="251">
                  <c:v>46090</c:v>
                </c:pt>
                <c:pt idx="252">
                  <c:v>46091</c:v>
                </c:pt>
                <c:pt idx="253">
                  <c:v>46092</c:v>
                </c:pt>
                <c:pt idx="254">
                  <c:v>46093</c:v>
                </c:pt>
                <c:pt idx="255">
                  <c:v>46094</c:v>
                </c:pt>
                <c:pt idx="256">
                  <c:v>46095</c:v>
                </c:pt>
                <c:pt idx="257">
                  <c:v>46096</c:v>
                </c:pt>
                <c:pt idx="258">
                  <c:v>46097</c:v>
                </c:pt>
                <c:pt idx="259">
                  <c:v>46098</c:v>
                </c:pt>
                <c:pt idx="260">
                  <c:v>46099</c:v>
                </c:pt>
                <c:pt idx="261">
                  <c:v>46100</c:v>
                </c:pt>
                <c:pt idx="262">
                  <c:v>46101</c:v>
                </c:pt>
                <c:pt idx="263">
                  <c:v>46102</c:v>
                </c:pt>
                <c:pt idx="264">
                  <c:v>46103</c:v>
                </c:pt>
                <c:pt idx="265">
                  <c:v>46104</c:v>
                </c:pt>
                <c:pt idx="266">
                  <c:v>46105</c:v>
                </c:pt>
                <c:pt idx="267">
                  <c:v>46106</c:v>
                </c:pt>
                <c:pt idx="268">
                  <c:v>46107</c:v>
                </c:pt>
                <c:pt idx="269">
                  <c:v>46108</c:v>
                </c:pt>
                <c:pt idx="270">
                  <c:v>46109</c:v>
                </c:pt>
                <c:pt idx="271">
                  <c:v>46110</c:v>
                </c:pt>
                <c:pt idx="272">
                  <c:v>46111</c:v>
                </c:pt>
                <c:pt idx="273">
                  <c:v>46112</c:v>
                </c:pt>
                <c:pt idx="274">
                  <c:v>46113</c:v>
                </c:pt>
                <c:pt idx="275">
                  <c:v>46114</c:v>
                </c:pt>
                <c:pt idx="276">
                  <c:v>46115</c:v>
                </c:pt>
                <c:pt idx="277">
                  <c:v>46116</c:v>
                </c:pt>
                <c:pt idx="278">
                  <c:v>46117</c:v>
                </c:pt>
                <c:pt idx="279">
                  <c:v>46118</c:v>
                </c:pt>
                <c:pt idx="280">
                  <c:v>46119</c:v>
                </c:pt>
                <c:pt idx="281">
                  <c:v>46120</c:v>
                </c:pt>
                <c:pt idx="282">
                  <c:v>46121</c:v>
                </c:pt>
                <c:pt idx="283">
                  <c:v>46122</c:v>
                </c:pt>
                <c:pt idx="284">
                  <c:v>46123</c:v>
                </c:pt>
                <c:pt idx="285">
                  <c:v>46124</c:v>
                </c:pt>
                <c:pt idx="286">
                  <c:v>46125</c:v>
                </c:pt>
                <c:pt idx="287">
                  <c:v>46126</c:v>
                </c:pt>
                <c:pt idx="288">
                  <c:v>46127</c:v>
                </c:pt>
                <c:pt idx="289">
                  <c:v>46128</c:v>
                </c:pt>
                <c:pt idx="290">
                  <c:v>46129</c:v>
                </c:pt>
                <c:pt idx="291">
                  <c:v>46130</c:v>
                </c:pt>
                <c:pt idx="292">
                  <c:v>46131</c:v>
                </c:pt>
                <c:pt idx="293">
                  <c:v>46132</c:v>
                </c:pt>
                <c:pt idx="294">
                  <c:v>46133</c:v>
                </c:pt>
                <c:pt idx="295">
                  <c:v>46134</c:v>
                </c:pt>
                <c:pt idx="296">
                  <c:v>46135</c:v>
                </c:pt>
                <c:pt idx="297">
                  <c:v>46136</c:v>
                </c:pt>
                <c:pt idx="298">
                  <c:v>46137</c:v>
                </c:pt>
                <c:pt idx="299">
                  <c:v>46138</c:v>
                </c:pt>
                <c:pt idx="300">
                  <c:v>46139</c:v>
                </c:pt>
                <c:pt idx="301">
                  <c:v>46140</c:v>
                </c:pt>
                <c:pt idx="302">
                  <c:v>46141</c:v>
                </c:pt>
                <c:pt idx="303">
                  <c:v>46142</c:v>
                </c:pt>
                <c:pt idx="304">
                  <c:v>46143</c:v>
                </c:pt>
                <c:pt idx="305">
                  <c:v>46144</c:v>
                </c:pt>
                <c:pt idx="306">
                  <c:v>46145</c:v>
                </c:pt>
                <c:pt idx="307">
                  <c:v>46146</c:v>
                </c:pt>
                <c:pt idx="308">
                  <c:v>46147</c:v>
                </c:pt>
                <c:pt idx="309">
                  <c:v>46148</c:v>
                </c:pt>
                <c:pt idx="310">
                  <c:v>46149</c:v>
                </c:pt>
                <c:pt idx="311">
                  <c:v>46150</c:v>
                </c:pt>
                <c:pt idx="312">
                  <c:v>46151</c:v>
                </c:pt>
                <c:pt idx="313">
                  <c:v>46152</c:v>
                </c:pt>
                <c:pt idx="314">
                  <c:v>46153</c:v>
                </c:pt>
                <c:pt idx="315">
                  <c:v>46154</c:v>
                </c:pt>
                <c:pt idx="316">
                  <c:v>46155</c:v>
                </c:pt>
                <c:pt idx="317">
                  <c:v>46156</c:v>
                </c:pt>
                <c:pt idx="318">
                  <c:v>46157</c:v>
                </c:pt>
                <c:pt idx="319">
                  <c:v>46158</c:v>
                </c:pt>
              </c:numCache>
            </c:numRef>
          </c:cat>
          <c:val>
            <c:numRef>
              <c:f>Forecast_Model!$D$2:$D$321</c:f>
              <c:numCache>
                <c:formatCode>General</c:formatCode>
                <c:ptCount val="320"/>
                <c:pt idx="159" formatCode="0.00">
                  <c:v>59777.2</c:v>
                </c:pt>
                <c:pt idx="160" formatCode="0.00">
                  <c:v>59292.551512531943</c:v>
                </c:pt>
                <c:pt idx="161" formatCode="0.00">
                  <c:v>59137.494394812311</c:v>
                </c:pt>
                <c:pt idx="162" formatCode="0.00">
                  <c:v>59018.794155466123</c:v>
                </c:pt>
                <c:pt idx="163" formatCode="0.00">
                  <c:v>58920.182146063424</c:v>
                </c:pt>
                <c:pt idx="164" formatCode="0.00">
                  <c:v>58834.78303867596</c:v>
                </c:pt>
                <c:pt idx="165" formatCode="0.00">
                  <c:v>58758.921784844701</c:v>
                </c:pt>
                <c:pt idx="166" formatCode="0.00">
                  <c:v>58690.360687798355</c:v>
                </c:pt>
                <c:pt idx="167" formatCode="0.00">
                  <c:v>58627.617576696386</c:v>
                </c:pt>
                <c:pt idx="168" formatCode="0.00">
                  <c:v>58569.650777882962</c:v>
                </c:pt>
                <c:pt idx="169" formatCode="0.00">
                  <c:v>58515.695179778282</c:v>
                </c:pt>
                <c:pt idx="170" formatCode="0.00">
                  <c:v>58465.169266546778</c:v>
                </c:pt>
                <c:pt idx="171" formatCode="0.00">
                  <c:v>58417.618836398564</c:v>
                </c:pt>
                <c:pt idx="172" formatCode="0.00">
                  <c:v>58372.681126965887</c:v>
                </c:pt>
                <c:pt idx="173" formatCode="0.00">
                  <c:v>58330.060973734777</c:v>
                </c:pt>
                <c:pt idx="174" formatCode="0.00">
                  <c:v>58289.514408597104</c:v>
                </c:pt>
                <c:pt idx="175" formatCode="0.00">
                  <c:v>58250.837043833897</c:v>
                </c:pt>
                <c:pt idx="176" formatCode="0.00">
                  <c:v>58213.855638469817</c:v>
                </c:pt>
                <c:pt idx="177" formatCode="0.00">
                  <c:v>58178.421842334508</c:v>
                </c:pt>
                <c:pt idx="178" formatCode="0.00">
                  <c:v>58144.407467748446</c:v>
                </c:pt>
                <c:pt idx="179" formatCode="0.00">
                  <c:v>58111.70085633541</c:v>
                </c:pt>
                <c:pt idx="180" formatCode="0.00">
                  <c:v>58080.204046114282</c:v>
                </c:pt>
                <c:pt idx="181" formatCode="0.00">
                  <c:v>58049.830533474131</c:v>
                </c:pt>
                <c:pt idx="182" formatCode="0.00">
                  <c:v>58020.503484165645</c:v>
                </c:pt>
                <c:pt idx="183" formatCode="0.00">
                  <c:v>57992.15428791118</c:v>
                </c:pt>
                <c:pt idx="184" formatCode="0.00">
                  <c:v>57964.721379278286</c:v>
                </c:pt>
                <c:pt idx="185" formatCode="0.00">
                  <c:v>57938.149267233282</c:v>
                </c:pt>
                <c:pt idx="186" formatCode="0.00">
                  <c:v>57912.387729951755</c:v>
                </c:pt>
                <c:pt idx="187" formatCode="0.00">
                  <c:v>57887.391141752276</c:v>
                </c:pt>
                <c:pt idx="188" formatCode="0.00">
                  <c:v>57863.117906593769</c:v>
                </c:pt>
                <c:pt idx="189" formatCode="0.00">
                  <c:v>57839.529978222054</c:v>
                </c:pt>
                <c:pt idx="190" formatCode="0.00">
                  <c:v>57816.592451304001</c:v>
                </c:pt>
                <c:pt idx="191" formatCode="0.00">
                  <c:v>57794.273211126776</c:v>
                </c:pt>
                <c:pt idx="192" formatCode="0.00">
                  <c:v>57772.542631928998</c:v>
                </c:pt>
                <c:pt idx="193" formatCode="0.00">
                  <c:v>57751.373315862009</c:v>
                </c:pt>
                <c:pt idx="194" formatCode="0.00">
                  <c:v>57730.739866089956</c:v>
                </c:pt>
                <c:pt idx="195" formatCode="0.00">
                  <c:v>57710.618688728304</c:v>
                </c:pt>
                <c:pt idx="196" formatCode="0.00">
                  <c:v>57690.987819265851</c:v>
                </c:pt>
                <c:pt idx="197" formatCode="0.00">
                  <c:v>57671.826769871986</c:v>
                </c:pt>
                <c:pt idx="198" formatCode="0.00">
                  <c:v>57653.116394599121</c:v>
                </c:pt>
                <c:pt idx="199" formatCode="0.00">
                  <c:v>57634.838769983464</c:v>
                </c:pt>
                <c:pt idx="200" formatCode="0.00">
                  <c:v>57616.977088948501</c:v>
                </c:pt>
                <c:pt idx="201" formatCode="0.00">
                  <c:v>57599.515566244721</c:v>
                </c:pt>
                <c:pt idx="202" formatCode="0.00">
                  <c:v>57582.439353929207</c:v>
                </c:pt>
                <c:pt idx="203" formatCode="0.00">
                  <c:v>57565.734465613423</c:v>
                </c:pt>
                <c:pt idx="204" formatCode="0.00">
                  <c:v>57549.387708392795</c:v>
                </c:pt>
                <c:pt idx="205" formatCode="0.00">
                  <c:v>57533.386621527992</c:v>
                </c:pt>
                <c:pt idx="206" formatCode="0.00">
                  <c:v>57517.719421077207</c:v>
                </c:pt>
                <c:pt idx="207" formatCode="0.00">
                  <c:v>57502.374949789315</c:v>
                </c:pt>
                <c:pt idx="208" formatCode="0.00">
                  <c:v>57487.342631659711</c:v>
                </c:pt>
                <c:pt idx="209" formatCode="0.00">
                  <c:v>57472.612430629873</c:v>
                </c:pt>
                <c:pt idx="210" formatCode="0.00">
                  <c:v>57458.174812978184</c:v>
                </c:pt>
                <c:pt idx="211" formatCode="0.00">
                  <c:v>57444.020713007209</c:v>
                </c:pt>
                <c:pt idx="212" formatCode="0.00">
                  <c:v>57430.141501680955</c:v>
                </c:pt>
                <c:pt idx="213" formatCode="0.00">
                  <c:v>57416.528957908617</c:v>
                </c:pt>
                <c:pt idx="214" formatCode="0.00">
                  <c:v>57403.175242206678</c:v>
                </c:pt>
                <c:pt idx="215" formatCode="0.00">
                  <c:v>57390.072872503602</c:v>
                </c:pt>
                <c:pt idx="216" formatCode="0.00">
                  <c:v>57377.214701877645</c:v>
                </c:pt>
                <c:pt idx="217" formatCode="0.00">
                  <c:v>57364.59389804284</c:v>
                </c:pt>
                <c:pt idx="218" formatCode="0.00">
                  <c:v>57352.203924418063</c:v>
                </c:pt>
                <c:pt idx="219" formatCode="0.00">
                  <c:v>57340.03852263288</c:v>
                </c:pt>
                <c:pt idx="220" formatCode="0.00">
                  <c:v>57328.091696338852</c:v>
                </c:pt>
                <c:pt idx="221" formatCode="0.00">
                  <c:v>57316.357696209649</c:v>
                </c:pt>
                <c:pt idx="222" formatCode="0.00">
                  <c:v>57304.831006024848</c:v>
                </c:pt>
                <c:pt idx="223" formatCode="0.00">
                  <c:v>57293.506329743395</c:v>
                </c:pt>
                <c:pt idx="224" formatCode="0.00">
                  <c:v>57282.378579482232</c:v>
                </c:pt>
                <c:pt idx="225" formatCode="0.00">
                  <c:v>57271.442864323762</c:v>
                </c:pt>
                <c:pt idx="226" formatCode="0.00">
                  <c:v>57260.694479883532</c:v>
                </c:pt>
                <c:pt idx="227" formatCode="0.00">
                  <c:v>57250.128898575902</c:v>
                </c:pt>
                <c:pt idx="228" formatCode="0.00">
                  <c:v>57239.741760521749</c:v>
                </c:pt>
                <c:pt idx="229" formatCode="0.00">
                  <c:v>57229.528865047003</c:v>
                </c:pt>
                <c:pt idx="230" formatCode="0.00">
                  <c:v>57219.48616272596</c:v>
                </c:pt>
                <c:pt idx="231" formatCode="0.00">
                  <c:v>57209.609747927345</c:v>
                </c:pt>
                <c:pt idx="232" formatCode="0.00">
                  <c:v>57199.895851824847</c:v>
                </c:pt>
                <c:pt idx="233" formatCode="0.00">
                  <c:v>57190.340835837254</c:v>
                </c:pt>
                <c:pt idx="234" formatCode="0.00">
                  <c:v>57180.941185466501</c:v>
                </c:pt>
                <c:pt idx="235" formatCode="0.00">
                  <c:v>57171.693504504387</c:v>
                </c:pt>
                <c:pt idx="236" formatCode="0.00">
                  <c:v>57162.594509581606</c:v>
                </c:pt>
                <c:pt idx="237" formatCode="0.00">
                  <c:v>57153.641025034478</c:v>
                </c:pt>
                <c:pt idx="238" formatCode="0.00">
                  <c:v>57144.829978067319</c:v>
                </c:pt>
                <c:pt idx="239" formatCode="0.00">
                  <c:v>57136.158394189675</c:v>
                </c:pt>
                <c:pt idx="240" formatCode="0.00">
                  <c:v>57127.623392909874</c:v>
                </c:pt>
                <c:pt idx="241" formatCode="0.00">
                  <c:v>57119.222183667232</c:v>
                </c:pt>
                <c:pt idx="242" formatCode="0.00">
                  <c:v>57110.952061987278</c:v>
                </c:pt>
                <c:pt idx="243" formatCode="0.00">
                  <c:v>57102.810405844968</c:v>
                </c:pt>
                <c:pt idx="244" formatCode="0.00">
                  <c:v>57094.794672222604</c:v>
                </c:pt>
                <c:pt idx="245" formatCode="0.00">
                  <c:v>57086.902393849537</c:v>
                </c:pt>
                <c:pt idx="246" formatCode="0.00">
                  <c:v>57079.131176112511</c:v>
                </c:pt>
                <c:pt idx="247" formatCode="0.00">
                  <c:v>57071.478694125399</c:v>
                </c:pt>
                <c:pt idx="248" formatCode="0.00">
                  <c:v>57063.942689948854</c:v>
                </c:pt>
                <c:pt idx="249" formatCode="0.00">
                  <c:v>57056.520969950223</c:v>
                </c:pt>
                <c:pt idx="250" formatCode="0.00">
                  <c:v>57049.211402295565</c:v>
                </c:pt>
                <c:pt idx="251" formatCode="0.00">
                  <c:v>57042.011914565432</c:v>
                </c:pt>
                <c:pt idx="252" formatCode="0.00">
                  <c:v>57034.920491487333</c:v>
                </c:pt>
                <c:pt idx="253" formatCode="0.00">
                  <c:v>57027.935172777798</c:v>
                </c:pt>
                <c:pt idx="254" formatCode="0.00">
                  <c:v>57021.054051087784</c:v>
                </c:pt>
                <c:pt idx="255" formatCode="0.00">
                  <c:v>57014.275270045306</c:v>
                </c:pt>
                <c:pt idx="256" formatCode="0.00">
                  <c:v>57007.597022389862</c:v>
                </c:pt>
                <c:pt idx="257" formatCode="0.00">
                  <c:v>57001.017548193406</c:v>
                </c:pt>
                <c:pt idx="258" formatCode="0.00">
                  <c:v>56994.535133162994</c:v>
                </c:pt>
                <c:pt idx="259" formatCode="0.00">
                  <c:v>56988.148107020606</c:v>
                </c:pt>
                <c:pt idx="260" formatCode="0.00">
                  <c:v>56981.854841955923</c:v>
                </c:pt>
                <c:pt idx="261" formatCode="0.00">
                  <c:v>56975.653751148006</c:v>
                </c:pt>
                <c:pt idx="262" formatCode="0.00">
                  <c:v>56969.543287352346</c:v>
                </c:pt>
                <c:pt idx="263" formatCode="0.00">
                  <c:v>56963.521941549494</c:v>
                </c:pt>
                <c:pt idx="264" formatCode="0.00">
                  <c:v>56957.588241652447</c:v>
                </c:pt>
                <c:pt idx="265" formatCode="0.00">
                  <c:v>56951.740751269208</c:v>
                </c:pt>
                <c:pt idx="266" formatCode="0.00">
                  <c:v>56945.978068518176</c:v>
                </c:pt>
                <c:pt idx="267" formatCode="0.00">
                  <c:v>56940.298824893209</c:v>
                </c:pt>
                <c:pt idx="268" formatCode="0.00">
                  <c:v>56934.701684176165</c:v>
                </c:pt>
                <c:pt idx="269" formatCode="0.00">
                  <c:v>56929.185341394288</c:v>
                </c:pt>
                <c:pt idx="270" formatCode="0.00">
                  <c:v>56923.748521820387</c:v>
                </c:pt>
                <c:pt idx="271" formatCode="0.00">
                  <c:v>56918.389980013511</c:v>
                </c:pt>
                <c:pt idx="272" formatCode="0.00">
                  <c:v>56913.108498898335</c:v>
                </c:pt>
                <c:pt idx="273" formatCode="0.00">
                  <c:v>56907.902888881137</c:v>
                </c:pt>
                <c:pt idx="274" formatCode="0.00">
                  <c:v>56902.771987000851</c:v>
                </c:pt>
                <c:pt idx="275" formatCode="0.00">
                  <c:v>56897.71465611329</c:v>
                </c:pt>
                <c:pt idx="276" formatCode="0.00">
                  <c:v>56892.729784107149</c:v>
                </c:pt>
                <c:pt idx="277" formatCode="0.00">
                  <c:v>56887.816283150183</c:v>
                </c:pt>
                <c:pt idx="278" formatCode="0.00">
                  <c:v>56882.973088964187</c:v>
                </c:pt>
                <c:pt idx="279" formatCode="0.00">
                  <c:v>56878.199160127464</c:v>
                </c:pt>
                <c:pt idx="280" formatCode="0.00">
                  <c:v>56873.493477403506</c:v>
                </c:pt>
                <c:pt idx="281" formatCode="0.00">
                  <c:v>56868.855043094663</c:v>
                </c:pt>
                <c:pt idx="282" formatCode="0.00">
                  <c:v>56864.282880419785</c:v>
                </c:pt>
                <c:pt idx="283" formatCode="0.00">
                  <c:v>56859.77603291456</c:v>
                </c:pt>
                <c:pt idx="284" formatCode="0.00">
                  <c:v>56855.333563853834</c:v>
                </c:pt>
                <c:pt idx="285" formatCode="0.00">
                  <c:v>56850.954555694625</c:v>
                </c:pt>
                <c:pt idx="286" formatCode="0.00">
                  <c:v>56846.638109539177</c:v>
                </c:pt>
                <c:pt idx="287" formatCode="0.00">
                  <c:v>56842.383344617032</c:v>
                </c:pt>
                <c:pt idx="288" formatCode="0.00">
                  <c:v>56838.189397785449</c:v>
                </c:pt>
                <c:pt idx="289" formatCode="0.00">
                  <c:v>56834.055423047204</c:v>
                </c:pt>
                <c:pt idx="290" formatCode="0.00">
                  <c:v>56829.980591085157</c:v>
                </c:pt>
                <c:pt idx="291" formatCode="0.00">
                  <c:v>56825.964088812892</c:v>
                </c:pt>
                <c:pt idx="292" formatCode="0.00">
                  <c:v>56822.005118940717</c:v>
                </c:pt>
                <c:pt idx="293" formatCode="0.00">
                  <c:v>56818.102899556339</c:v>
                </c:pt>
                <c:pt idx="294" formatCode="0.00">
                  <c:v>56814.256663719723</c:v>
                </c:pt>
                <c:pt idx="295" formatCode="0.00">
                  <c:v>56810.465659071524</c:v>
                </c:pt>
                <c:pt idx="296" formatCode="0.00">
                  <c:v>56806.729147454404</c:v>
                </c:pt>
                <c:pt idx="297" formatCode="0.00">
                  <c:v>56803.046404546978</c:v>
                </c:pt>
                <c:pt idx="298" formatCode="0.00">
                  <c:v>56799.416719509623</c:v>
                </c:pt>
                <c:pt idx="299" formatCode="0.00">
                  <c:v>56795.839394641887</c:v>
                </c:pt>
                <c:pt idx="300" formatCode="0.00">
                  <c:v>56792.313745050858</c:v>
                </c:pt>
                <c:pt idx="301" formatCode="0.00">
                  <c:v>56788.839098330245</c:v>
                </c:pt>
                <c:pt idx="302" formatCode="0.00">
                  <c:v>56785.414794249598</c:v>
                </c:pt>
                <c:pt idx="303" formatCode="0.00">
                  <c:v>56782.040184453421</c:v>
                </c:pt>
                <c:pt idx="304" formatCode="0.00">
                  <c:v>56778.714632169605</c:v>
                </c:pt>
                <c:pt idx="305" formatCode="0.00">
                  <c:v>56775.437511927143</c:v>
                </c:pt>
                <c:pt idx="306" formatCode="0.00">
                  <c:v>56772.208209282333</c:v>
                </c:pt>
                <c:pt idx="307" formatCode="0.00">
                  <c:v>56769.026120553637</c:v>
                </c:pt>
                <c:pt idx="308" formatCode="0.00">
                  <c:v>56765.890652564449</c:v>
                </c:pt>
                <c:pt idx="309" formatCode="0.00">
                  <c:v>56762.801222393806</c:v>
                </c:pt>
                <c:pt idx="310" formatCode="0.00">
                  <c:v>56759.757257134515</c:v>
                </c:pt>
                <c:pt idx="311" formatCode="0.00">
                  <c:v>56756.758193658578</c:v>
                </c:pt>
                <c:pt idx="312" formatCode="0.00">
                  <c:v>56753.803478389542</c:v>
                </c:pt>
                <c:pt idx="313" formatCode="0.00">
                  <c:v>56750.892567081661</c:v>
                </c:pt>
                <c:pt idx="314" formatCode="0.00">
                  <c:v>56748.024924605415</c:v>
                </c:pt>
                <c:pt idx="315" formatCode="0.00">
                  <c:v>56745.200024739439</c:v>
                </c:pt>
                <c:pt idx="316" formatCode="0.00">
                  <c:v>56742.417349968338</c:v>
                </c:pt>
                <c:pt idx="317" formatCode="0.00">
                  <c:v>56739.676391286433</c:v>
                </c:pt>
                <c:pt idx="318" formatCode="0.00">
                  <c:v>56736.976648007054</c:v>
                </c:pt>
                <c:pt idx="319" formatCode="0.00">
                  <c:v>56734.317627577322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5C-4F3D-991A-6646D0BF0307}"/>
            </c:ext>
          </c:extLst>
        </c:ser>
        <c:ser>
          <c:idx val="3"/>
          <c:order val="3"/>
          <c:tx>
            <c:strRef>
              <c:f>Forecast_Model!$E$1</c:f>
              <c:strCache>
                <c:ptCount val="1"/>
                <c:pt idx="0">
                  <c:v>Upper Confidence Bound(Closing)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Forecast_Model!$A$2:$A$321</c:f>
              <c:numCache>
                <c:formatCode>m/d/yyyy</c:formatCode>
                <c:ptCount val="320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>
                  <c:v>46023</c:v>
                </c:pt>
                <c:pt idx="185">
                  <c:v>46024</c:v>
                </c:pt>
                <c:pt idx="186">
                  <c:v>46025</c:v>
                </c:pt>
                <c:pt idx="187">
                  <c:v>46026</c:v>
                </c:pt>
                <c:pt idx="188">
                  <c:v>46027</c:v>
                </c:pt>
                <c:pt idx="189">
                  <c:v>46028</c:v>
                </c:pt>
                <c:pt idx="190">
                  <c:v>46029</c:v>
                </c:pt>
                <c:pt idx="191">
                  <c:v>46030</c:v>
                </c:pt>
                <c:pt idx="192">
                  <c:v>46031</c:v>
                </c:pt>
                <c:pt idx="193">
                  <c:v>46032</c:v>
                </c:pt>
                <c:pt idx="194">
                  <c:v>46033</c:v>
                </c:pt>
                <c:pt idx="195">
                  <c:v>46034</c:v>
                </c:pt>
                <c:pt idx="196">
                  <c:v>46035</c:v>
                </c:pt>
                <c:pt idx="197">
                  <c:v>46036</c:v>
                </c:pt>
                <c:pt idx="198">
                  <c:v>46037</c:v>
                </c:pt>
                <c:pt idx="199">
                  <c:v>46038</c:v>
                </c:pt>
                <c:pt idx="200">
                  <c:v>46039</c:v>
                </c:pt>
                <c:pt idx="201">
                  <c:v>46040</c:v>
                </c:pt>
                <c:pt idx="202">
                  <c:v>46041</c:v>
                </c:pt>
                <c:pt idx="203">
                  <c:v>46042</c:v>
                </c:pt>
                <c:pt idx="204">
                  <c:v>46043</c:v>
                </c:pt>
                <c:pt idx="205">
                  <c:v>46044</c:v>
                </c:pt>
                <c:pt idx="206">
                  <c:v>46045</c:v>
                </c:pt>
                <c:pt idx="207">
                  <c:v>46046</c:v>
                </c:pt>
                <c:pt idx="208">
                  <c:v>46047</c:v>
                </c:pt>
                <c:pt idx="209">
                  <c:v>46048</c:v>
                </c:pt>
                <c:pt idx="210">
                  <c:v>46049</c:v>
                </c:pt>
                <c:pt idx="211">
                  <c:v>46050</c:v>
                </c:pt>
                <c:pt idx="212">
                  <c:v>46051</c:v>
                </c:pt>
                <c:pt idx="213">
                  <c:v>46052</c:v>
                </c:pt>
                <c:pt idx="214">
                  <c:v>46053</c:v>
                </c:pt>
                <c:pt idx="215">
                  <c:v>46054</c:v>
                </c:pt>
                <c:pt idx="216">
                  <c:v>46055</c:v>
                </c:pt>
                <c:pt idx="217">
                  <c:v>46056</c:v>
                </c:pt>
                <c:pt idx="218">
                  <c:v>46057</c:v>
                </c:pt>
                <c:pt idx="219">
                  <c:v>46058</c:v>
                </c:pt>
                <c:pt idx="220">
                  <c:v>46059</c:v>
                </c:pt>
                <c:pt idx="221">
                  <c:v>46060</c:v>
                </c:pt>
                <c:pt idx="222">
                  <c:v>46061</c:v>
                </c:pt>
                <c:pt idx="223">
                  <c:v>46062</c:v>
                </c:pt>
                <c:pt idx="224">
                  <c:v>46063</c:v>
                </c:pt>
                <c:pt idx="225">
                  <c:v>46064</c:v>
                </c:pt>
                <c:pt idx="226">
                  <c:v>46065</c:v>
                </c:pt>
                <c:pt idx="227">
                  <c:v>46066</c:v>
                </c:pt>
                <c:pt idx="228">
                  <c:v>46067</c:v>
                </c:pt>
                <c:pt idx="229">
                  <c:v>46068</c:v>
                </c:pt>
                <c:pt idx="230">
                  <c:v>46069</c:v>
                </c:pt>
                <c:pt idx="231">
                  <c:v>46070</c:v>
                </c:pt>
                <c:pt idx="232">
                  <c:v>46071</c:v>
                </c:pt>
                <c:pt idx="233">
                  <c:v>46072</c:v>
                </c:pt>
                <c:pt idx="234">
                  <c:v>46073</c:v>
                </c:pt>
                <c:pt idx="235">
                  <c:v>46074</c:v>
                </c:pt>
                <c:pt idx="236">
                  <c:v>46075</c:v>
                </c:pt>
                <c:pt idx="237">
                  <c:v>46076</c:v>
                </c:pt>
                <c:pt idx="238">
                  <c:v>46077</c:v>
                </c:pt>
                <c:pt idx="239">
                  <c:v>46078</c:v>
                </c:pt>
                <c:pt idx="240">
                  <c:v>46079</c:v>
                </c:pt>
                <c:pt idx="241">
                  <c:v>46080</c:v>
                </c:pt>
                <c:pt idx="242">
                  <c:v>46081</c:v>
                </c:pt>
                <c:pt idx="243">
                  <c:v>46082</c:v>
                </c:pt>
                <c:pt idx="244">
                  <c:v>46083</c:v>
                </c:pt>
                <c:pt idx="245">
                  <c:v>46084</c:v>
                </c:pt>
                <c:pt idx="246">
                  <c:v>46085</c:v>
                </c:pt>
                <c:pt idx="247">
                  <c:v>46086</c:v>
                </c:pt>
                <c:pt idx="248">
                  <c:v>46087</c:v>
                </c:pt>
                <c:pt idx="249">
                  <c:v>46088</c:v>
                </c:pt>
                <c:pt idx="250">
                  <c:v>46089</c:v>
                </c:pt>
                <c:pt idx="251">
                  <c:v>46090</c:v>
                </c:pt>
                <c:pt idx="252">
                  <c:v>46091</c:v>
                </c:pt>
                <c:pt idx="253">
                  <c:v>46092</c:v>
                </c:pt>
                <c:pt idx="254">
                  <c:v>46093</c:v>
                </c:pt>
                <c:pt idx="255">
                  <c:v>46094</c:v>
                </c:pt>
                <c:pt idx="256">
                  <c:v>46095</c:v>
                </c:pt>
                <c:pt idx="257">
                  <c:v>46096</c:v>
                </c:pt>
                <c:pt idx="258">
                  <c:v>46097</c:v>
                </c:pt>
                <c:pt idx="259">
                  <c:v>46098</c:v>
                </c:pt>
                <c:pt idx="260">
                  <c:v>46099</c:v>
                </c:pt>
                <c:pt idx="261">
                  <c:v>46100</c:v>
                </c:pt>
                <c:pt idx="262">
                  <c:v>46101</c:v>
                </c:pt>
                <c:pt idx="263">
                  <c:v>46102</c:v>
                </c:pt>
                <c:pt idx="264">
                  <c:v>46103</c:v>
                </c:pt>
                <c:pt idx="265">
                  <c:v>46104</c:v>
                </c:pt>
                <c:pt idx="266">
                  <c:v>46105</c:v>
                </c:pt>
                <c:pt idx="267">
                  <c:v>46106</c:v>
                </c:pt>
                <c:pt idx="268">
                  <c:v>46107</c:v>
                </c:pt>
                <c:pt idx="269">
                  <c:v>46108</c:v>
                </c:pt>
                <c:pt idx="270">
                  <c:v>46109</c:v>
                </c:pt>
                <c:pt idx="271">
                  <c:v>46110</c:v>
                </c:pt>
                <c:pt idx="272">
                  <c:v>46111</c:v>
                </c:pt>
                <c:pt idx="273">
                  <c:v>46112</c:v>
                </c:pt>
                <c:pt idx="274">
                  <c:v>46113</c:v>
                </c:pt>
                <c:pt idx="275">
                  <c:v>46114</c:v>
                </c:pt>
                <c:pt idx="276">
                  <c:v>46115</c:v>
                </c:pt>
                <c:pt idx="277">
                  <c:v>46116</c:v>
                </c:pt>
                <c:pt idx="278">
                  <c:v>46117</c:v>
                </c:pt>
                <c:pt idx="279">
                  <c:v>46118</c:v>
                </c:pt>
                <c:pt idx="280">
                  <c:v>46119</c:v>
                </c:pt>
                <c:pt idx="281">
                  <c:v>46120</c:v>
                </c:pt>
                <c:pt idx="282">
                  <c:v>46121</c:v>
                </c:pt>
                <c:pt idx="283">
                  <c:v>46122</c:v>
                </c:pt>
                <c:pt idx="284">
                  <c:v>46123</c:v>
                </c:pt>
                <c:pt idx="285">
                  <c:v>46124</c:v>
                </c:pt>
                <c:pt idx="286">
                  <c:v>46125</c:v>
                </c:pt>
                <c:pt idx="287">
                  <c:v>46126</c:v>
                </c:pt>
                <c:pt idx="288">
                  <c:v>46127</c:v>
                </c:pt>
                <c:pt idx="289">
                  <c:v>46128</c:v>
                </c:pt>
                <c:pt idx="290">
                  <c:v>46129</c:v>
                </c:pt>
                <c:pt idx="291">
                  <c:v>46130</c:v>
                </c:pt>
                <c:pt idx="292">
                  <c:v>46131</c:v>
                </c:pt>
                <c:pt idx="293">
                  <c:v>46132</c:v>
                </c:pt>
                <c:pt idx="294">
                  <c:v>46133</c:v>
                </c:pt>
                <c:pt idx="295">
                  <c:v>46134</c:v>
                </c:pt>
                <c:pt idx="296">
                  <c:v>46135</c:v>
                </c:pt>
                <c:pt idx="297">
                  <c:v>46136</c:v>
                </c:pt>
                <c:pt idx="298">
                  <c:v>46137</c:v>
                </c:pt>
                <c:pt idx="299">
                  <c:v>46138</c:v>
                </c:pt>
                <c:pt idx="300">
                  <c:v>46139</c:v>
                </c:pt>
                <c:pt idx="301">
                  <c:v>46140</c:v>
                </c:pt>
                <c:pt idx="302">
                  <c:v>46141</c:v>
                </c:pt>
                <c:pt idx="303">
                  <c:v>46142</c:v>
                </c:pt>
                <c:pt idx="304">
                  <c:v>46143</c:v>
                </c:pt>
                <c:pt idx="305">
                  <c:v>46144</c:v>
                </c:pt>
                <c:pt idx="306">
                  <c:v>46145</c:v>
                </c:pt>
                <c:pt idx="307">
                  <c:v>46146</c:v>
                </c:pt>
                <c:pt idx="308">
                  <c:v>46147</c:v>
                </c:pt>
                <c:pt idx="309">
                  <c:v>46148</c:v>
                </c:pt>
                <c:pt idx="310">
                  <c:v>46149</c:v>
                </c:pt>
                <c:pt idx="311">
                  <c:v>46150</c:v>
                </c:pt>
                <c:pt idx="312">
                  <c:v>46151</c:v>
                </c:pt>
                <c:pt idx="313">
                  <c:v>46152</c:v>
                </c:pt>
                <c:pt idx="314">
                  <c:v>46153</c:v>
                </c:pt>
                <c:pt idx="315">
                  <c:v>46154</c:v>
                </c:pt>
                <c:pt idx="316">
                  <c:v>46155</c:v>
                </c:pt>
                <c:pt idx="317">
                  <c:v>46156</c:v>
                </c:pt>
                <c:pt idx="318">
                  <c:v>46157</c:v>
                </c:pt>
                <c:pt idx="319">
                  <c:v>46158</c:v>
                </c:pt>
              </c:numCache>
            </c:numRef>
          </c:cat>
          <c:val>
            <c:numRef>
              <c:f>Forecast_Model!$E$2:$E$321</c:f>
              <c:numCache>
                <c:formatCode>General</c:formatCode>
                <c:ptCount val="320"/>
                <c:pt idx="159" formatCode="0.00">
                  <c:v>59777.2</c:v>
                </c:pt>
                <c:pt idx="160" formatCode="0.00">
                  <c:v>60305.941377634859</c:v>
                </c:pt>
                <c:pt idx="161" formatCode="0.00">
                  <c:v>60501.549150688166</c:v>
                </c:pt>
                <c:pt idx="162" formatCode="0.00">
                  <c:v>60660.800045368014</c:v>
                </c:pt>
                <c:pt idx="163" formatCode="0.00">
                  <c:v>60799.962710104388</c:v>
                </c:pt>
                <c:pt idx="164" formatCode="0.00">
                  <c:v>60925.912472825512</c:v>
                </c:pt>
                <c:pt idx="165" formatCode="0.00">
                  <c:v>61042.324381990446</c:v>
                </c:pt>
                <c:pt idx="166" formatCode="0.00">
                  <c:v>61151.436134370451</c:v>
                </c:pt>
                <c:pt idx="167" formatCode="0.00">
                  <c:v>61254.729900806095</c:v>
                </c:pt>
                <c:pt idx="168" formatCode="0.00">
                  <c:v>61353.247354953179</c:v>
                </c:pt>
                <c:pt idx="169" formatCode="0.00">
                  <c:v>61447.753608391533</c:v>
                </c:pt>
                <c:pt idx="170" formatCode="0.00">
                  <c:v>61538.830176956697</c:v>
                </c:pt>
                <c:pt idx="171" formatCode="0.00">
                  <c:v>61626.931262438586</c:v>
                </c:pt>
                <c:pt idx="172" formatCode="0.00">
                  <c:v>61712.419627204923</c:v>
                </c:pt>
                <c:pt idx="173" formatCode="0.00">
                  <c:v>61795.590435769707</c:v>
                </c:pt>
                <c:pt idx="174" formatCode="0.00">
                  <c:v>61876.68765624104</c:v>
                </c:pt>
                <c:pt idx="175" formatCode="0.00">
                  <c:v>61955.915676337921</c:v>
                </c:pt>
                <c:pt idx="176" formatCode="0.00">
                  <c:v>62033.447737035662</c:v>
                </c:pt>
                <c:pt idx="177" formatCode="0.00">
                  <c:v>62109.432188504645</c:v>
                </c:pt>
                <c:pt idx="178" formatCode="0.00">
                  <c:v>62183.997218424367</c:v>
                </c:pt>
                <c:pt idx="179" formatCode="0.00">
                  <c:v>62257.254485171077</c:v>
                </c:pt>
                <c:pt idx="180" formatCode="0.00">
                  <c:v>62329.301950725865</c:v>
                </c:pt>
                <c:pt idx="181" formatCode="0.00">
                  <c:v>62400.226118699691</c:v>
                </c:pt>
                <c:pt idx="182" formatCode="0.00">
                  <c:v>62470.103823341837</c:v>
                </c:pt>
                <c:pt idx="183" formatCode="0.00">
                  <c:v>62539.003674929976</c:v>
                </c:pt>
                <c:pt idx="184" formatCode="0.00">
                  <c:v>62606.98723889653</c:v>
                </c:pt>
                <c:pt idx="185" formatCode="0.00">
                  <c:v>62674.110006275208</c:v>
                </c:pt>
                <c:pt idx="186" formatCode="0.00">
                  <c:v>62740.422198890396</c:v>
                </c:pt>
                <c:pt idx="187" formatCode="0.00">
                  <c:v>62805.969442423549</c:v>
                </c:pt>
                <c:pt idx="188" formatCode="0.00">
                  <c:v>62870.793332915717</c:v>
                </c:pt>
                <c:pt idx="189" formatCode="0.00">
                  <c:v>62934.931916621106</c:v>
                </c:pt>
                <c:pt idx="190" formatCode="0.00">
                  <c:v>62998.420098872819</c:v>
                </c:pt>
                <c:pt idx="191" formatCode="0.00">
                  <c:v>63061.289994383718</c:v>
                </c:pt>
                <c:pt idx="192" formatCode="0.00">
                  <c:v>63123.571228915156</c:v>
                </c:pt>
                <c:pt idx="193" formatCode="0.00">
                  <c:v>63185.29120031582</c:v>
                </c:pt>
                <c:pt idx="194" formatCode="0.00">
                  <c:v>63246.475305421533</c:v>
                </c:pt>
                <c:pt idx="195" formatCode="0.00">
                  <c:v>63307.147138116859</c:v>
                </c:pt>
                <c:pt idx="196" formatCode="0.00">
                  <c:v>63367.328662912973</c:v>
                </c:pt>
                <c:pt idx="197" formatCode="0.00">
                  <c:v>63427.040367640511</c:v>
                </c:pt>
                <c:pt idx="198" formatCode="0.00">
                  <c:v>63486.301398247037</c:v>
                </c:pt>
                <c:pt idx="199" formatCode="0.00">
                  <c:v>63545.129678196368</c:v>
                </c:pt>
                <c:pt idx="200" formatCode="0.00">
                  <c:v>63603.542014564991</c:v>
                </c:pt>
                <c:pt idx="201" formatCode="0.00">
                  <c:v>63661.554192602445</c:v>
                </c:pt>
                <c:pt idx="202" formatCode="0.00">
                  <c:v>63719.18106025162</c:v>
                </c:pt>
                <c:pt idx="203" formatCode="0.00">
                  <c:v>63776.436603901078</c:v>
                </c:pt>
                <c:pt idx="204" formatCode="0.00">
                  <c:v>63833.334016455367</c:v>
                </c:pt>
                <c:pt idx="205" formatCode="0.00">
                  <c:v>63889.885758653843</c:v>
                </c:pt>
                <c:pt idx="206" formatCode="0.00">
                  <c:v>63946.103614438289</c:v>
                </c:pt>
                <c:pt idx="207" formatCode="0.00">
                  <c:v>64001.998741059855</c:v>
                </c:pt>
                <c:pt idx="208" formatCode="0.00">
                  <c:v>64057.581714523119</c:v>
                </c:pt>
                <c:pt idx="209" formatCode="0.00">
                  <c:v>64112.862570886631</c:v>
                </c:pt>
                <c:pt idx="210" formatCode="0.00">
                  <c:v>64167.85084387198</c:v>
                </c:pt>
                <c:pt idx="211" formatCode="0.00">
                  <c:v>64222.55559917663</c:v>
                </c:pt>
                <c:pt idx="212" formatCode="0.00">
                  <c:v>64276.985465836544</c:v>
                </c:pt>
                <c:pt idx="213" formatCode="0.00">
                  <c:v>64331.148664942557</c:v>
                </c:pt>
                <c:pt idx="214" formatCode="0.00">
                  <c:v>64385.053035978155</c:v>
                </c:pt>
                <c:pt idx="215" formatCode="0.00">
                  <c:v>64438.706061014906</c:v>
                </c:pt>
                <c:pt idx="216" formatCode="0.00">
                  <c:v>64492.114886974523</c:v>
                </c:pt>
                <c:pt idx="217" formatCode="0.00">
                  <c:v>64545.286346143002</c:v>
                </c:pt>
                <c:pt idx="218" formatCode="0.00">
                  <c:v>64598.226975101439</c:v>
                </c:pt>
                <c:pt idx="219" formatCode="0.00">
                  <c:v>64650.943032220297</c:v>
                </c:pt>
                <c:pt idx="220" formatCode="0.00">
                  <c:v>64703.440513847985</c:v>
                </c:pt>
                <c:pt idx="221" formatCode="0.00">
                  <c:v>64755.725169310848</c:v>
                </c:pt>
                <c:pt idx="222" formatCode="0.00">
                  <c:v>64807.802514829324</c:v>
                </c:pt>
                <c:pt idx="223" formatCode="0.00">
                  <c:v>64859.677846444451</c:v>
                </c:pt>
                <c:pt idx="224" formatCode="0.00">
                  <c:v>64911.356252039273</c:v>
                </c:pt>
                <c:pt idx="225" formatCode="0.00">
                  <c:v>64962.842622531403</c:v>
                </c:pt>
                <c:pt idx="226" formatCode="0.00">
                  <c:v>65014.141662305308</c:v>
                </c:pt>
                <c:pt idx="227" formatCode="0.00">
                  <c:v>65065.257898946598</c:v>
                </c:pt>
                <c:pt idx="228" formatCode="0.00">
                  <c:v>65116.195692334426</c:v>
                </c:pt>
                <c:pt idx="229" formatCode="0.00">
                  <c:v>65166.959243142832</c:v>
                </c:pt>
                <c:pt idx="230" formatCode="0.00">
                  <c:v>65217.55260079755</c:v>
                </c:pt>
                <c:pt idx="231" formatCode="0.00">
                  <c:v>65267.979670929824</c:v>
                </c:pt>
                <c:pt idx="232" formatCode="0.00">
                  <c:v>65318.244222365996</c:v>
                </c:pt>
                <c:pt idx="233" formatCode="0.00">
                  <c:v>65368.349893687249</c:v>
                </c:pt>
                <c:pt idx="234" formatCode="0.00">
                  <c:v>65418.300199391677</c:v>
                </c:pt>
                <c:pt idx="235" formatCode="0.00">
                  <c:v>65468.098535687452</c:v>
                </c:pt>
                <c:pt idx="236" formatCode="0.00">
                  <c:v>65517.748185943907</c:v>
                </c:pt>
                <c:pt idx="237" formatCode="0.00">
                  <c:v>65567.252325824695</c:v>
                </c:pt>
                <c:pt idx="238" formatCode="0.00">
                  <c:v>65616.614028125521</c:v>
                </c:pt>
                <c:pt idx="239" formatCode="0.00">
                  <c:v>65665.836267336825</c:v>
                </c:pt>
                <c:pt idx="240" formatCode="0.00">
                  <c:v>65714.9219239503</c:v>
                </c:pt>
                <c:pt idx="241" formatCode="0.00">
                  <c:v>65763.873788526616</c:v>
                </c:pt>
                <c:pt idx="242" formatCode="0.00">
                  <c:v>65812.694565540238</c:v>
                </c:pt>
                <c:pt idx="243" formatCode="0.00">
                  <c:v>65861.386877016208</c:v>
                </c:pt>
                <c:pt idx="244" formatCode="0.00">
                  <c:v>65909.953265972246</c:v>
                </c:pt>
                <c:pt idx="245" formatCode="0.00">
                  <c:v>65958.396199678973</c:v>
                </c:pt>
                <c:pt idx="246" formatCode="0.00">
                  <c:v>66006.718072749674</c:v>
                </c:pt>
                <c:pt idx="247" formatCode="0.00">
                  <c:v>66054.921210070446</c:v>
                </c:pt>
                <c:pt idx="248" formatCode="0.00">
                  <c:v>66103.007869580673</c:v>
                </c:pt>
                <c:pt idx="249" formatCode="0.00">
                  <c:v>66150.980244912964</c:v>
                </c:pt>
                <c:pt idx="250" formatCode="0.00">
                  <c:v>66198.840467901289</c:v>
                </c:pt>
                <c:pt idx="251" formatCode="0.00">
                  <c:v>66246.590610965082</c:v>
                </c:pt>
                <c:pt idx="252" formatCode="0.00">
                  <c:v>66294.232689376862</c:v>
                </c:pt>
                <c:pt idx="253" formatCode="0.00">
                  <c:v>66341.768663420051</c:v>
                </c:pt>
                <c:pt idx="254" formatCode="0.00">
                  <c:v>66389.200440443732</c:v>
                </c:pt>
                <c:pt idx="255" formatCode="0.00">
                  <c:v>66436.529876819885</c:v>
                </c:pt>
                <c:pt idx="256" formatCode="0.00">
                  <c:v>66483.758779808995</c:v>
                </c:pt>
                <c:pt idx="257" formatCode="0.00">
                  <c:v>66530.888909339119</c:v>
                </c:pt>
                <c:pt idx="258" formatCode="0.00">
                  <c:v>66577.921979703198</c:v>
                </c:pt>
                <c:pt idx="259" formatCode="0.00">
                  <c:v>66624.859661179245</c:v>
                </c:pt>
                <c:pt idx="260" formatCode="0.00">
                  <c:v>66671.703581577603</c:v>
                </c:pt>
                <c:pt idx="261" formatCode="0.00">
                  <c:v>66718.455327719174</c:v>
                </c:pt>
                <c:pt idx="262" formatCode="0.00">
                  <c:v>66765.116446848522</c:v>
                </c:pt>
                <c:pt idx="263" formatCode="0.00">
                  <c:v>66811.688447985027</c:v>
                </c:pt>
                <c:pt idx="264" formatCode="0.00">
                  <c:v>66858.172803215755</c:v>
                </c:pt>
                <c:pt idx="265" formatCode="0.00">
                  <c:v>66904.570948932655</c:v>
                </c:pt>
                <c:pt idx="266" formatCode="0.00">
                  <c:v>66950.884287017354</c:v>
                </c:pt>
                <c:pt idx="267" formatCode="0.00">
                  <c:v>66997.114185975981</c:v>
                </c:pt>
                <c:pt idx="268" formatCode="0.00">
                  <c:v>67043.261982026699</c:v>
                </c:pt>
                <c:pt idx="269" formatCode="0.00">
                  <c:v>67089.328980142236</c:v>
                </c:pt>
                <c:pt idx="270" formatCode="0.00">
                  <c:v>67135.316455049819</c:v>
                </c:pt>
                <c:pt idx="271" formatCode="0.00">
                  <c:v>67181.225652190347</c:v>
                </c:pt>
                <c:pt idx="272" formatCode="0.00">
                  <c:v>67227.057788639198</c:v>
                </c:pt>
                <c:pt idx="273" formatCode="0.00">
                  <c:v>67272.814053990049</c:v>
                </c:pt>
                <c:pt idx="274" formatCode="0.00">
                  <c:v>67318.495611204009</c:v>
                </c:pt>
                <c:pt idx="275" formatCode="0.00">
                  <c:v>67364.103597425245</c:v>
                </c:pt>
                <c:pt idx="276" formatCode="0.00">
                  <c:v>67409.639124765046</c:v>
                </c:pt>
                <c:pt idx="277" formatCode="0.00">
                  <c:v>67455.103281055679</c:v>
                </c:pt>
                <c:pt idx="278" formatCode="0.00">
                  <c:v>67500.497130575342</c:v>
                </c:pt>
                <c:pt idx="279" formatCode="0.00">
                  <c:v>67545.821714745733</c:v>
                </c:pt>
                <c:pt idx="280" formatCode="0.00">
                  <c:v>67591.078052803365</c:v>
                </c:pt>
                <c:pt idx="281" formatCode="0.00">
                  <c:v>67636.267142445868</c:v>
                </c:pt>
                <c:pt idx="282" formatCode="0.00">
                  <c:v>67681.389960454413</c:v>
                </c:pt>
                <c:pt idx="283" formatCode="0.00">
                  <c:v>67726.447463293298</c:v>
                </c:pt>
                <c:pt idx="284" formatCode="0.00">
                  <c:v>67771.440587687684</c:v>
                </c:pt>
                <c:pt idx="285" formatCode="0.00">
                  <c:v>67816.370251180575</c:v>
                </c:pt>
                <c:pt idx="286" formatCode="0.00">
                  <c:v>67861.237352669705</c:v>
                </c:pt>
                <c:pt idx="287" formatCode="0.00">
                  <c:v>67906.042772925503</c:v>
                </c:pt>
                <c:pt idx="288" formatCode="0.00">
                  <c:v>67950.787375090746</c:v>
                </c:pt>
                <c:pt idx="289" formatCode="0.00">
                  <c:v>67995.472005162665</c:v>
                </c:pt>
                <c:pt idx="290" formatCode="0.00">
                  <c:v>68040.097492458386</c:v>
                </c:pt>
                <c:pt idx="291" formatCode="0.00">
                  <c:v>68084.664650064311</c:v>
                </c:pt>
                <c:pt idx="292" formatCode="0.00">
                  <c:v>68129.174275270154</c:v>
                </c:pt>
                <c:pt idx="293" formatCode="0.00">
                  <c:v>68173.627149988199</c:v>
                </c:pt>
                <c:pt idx="294" formatCode="0.00">
                  <c:v>68218.024041158467</c:v>
                </c:pt>
                <c:pt idx="295" formatCode="0.00">
                  <c:v>68262.365701140341</c:v>
                </c:pt>
                <c:pt idx="296" formatCode="0.00">
                  <c:v>68306.652868091129</c:v>
                </c:pt>
                <c:pt idx="297" formatCode="0.00">
                  <c:v>68350.886266332236</c:v>
                </c:pt>
                <c:pt idx="298" formatCode="0.00">
                  <c:v>68395.066606703243</c:v>
                </c:pt>
                <c:pt idx="299" formatCode="0.00">
                  <c:v>68439.194586904661</c:v>
                </c:pt>
                <c:pt idx="300" formatCode="0.00">
                  <c:v>68483.27089182935</c:v>
                </c:pt>
                <c:pt idx="301" formatCode="0.00">
                  <c:v>68527.296193883623</c:v>
                </c:pt>
                <c:pt idx="302" formatCode="0.00">
                  <c:v>68571.27115329793</c:v>
                </c:pt>
                <c:pt idx="303" formatCode="0.00">
                  <c:v>68615.196418427789</c:v>
                </c:pt>
                <c:pt idx="304" formatCode="0.00">
                  <c:v>68659.072626045265</c:v>
                </c:pt>
                <c:pt idx="305" formatCode="0.00">
                  <c:v>68702.900401621402</c:v>
                </c:pt>
                <c:pt idx="306" formatCode="0.00">
                  <c:v>68746.680359599864</c:v>
                </c:pt>
                <c:pt idx="307" formatCode="0.00">
                  <c:v>68790.413103662242</c:v>
                </c:pt>
                <c:pt idx="308" formatCode="0.00">
                  <c:v>68834.099226985098</c:v>
                </c:pt>
                <c:pt idx="309" formatCode="0.00">
                  <c:v>68877.739312489401</c:v>
                </c:pt>
                <c:pt idx="310" formatCode="0.00">
                  <c:v>68921.333933082351</c:v>
                </c:pt>
                <c:pt idx="311" formatCode="0.00">
                  <c:v>68964.883651891971</c:v>
                </c:pt>
                <c:pt idx="312" formatCode="0.00">
                  <c:v>69008.389022494666</c:v>
                </c:pt>
                <c:pt idx="313" formatCode="0.00">
                  <c:v>69051.850589136215</c:v>
                </c:pt>
                <c:pt idx="314" formatCode="0.00">
                  <c:v>69095.268886946127</c:v>
                </c:pt>
                <c:pt idx="315" formatCode="0.00">
                  <c:v>69138.644442145771</c:v>
                </c:pt>
                <c:pt idx="316" formatCode="0.00">
                  <c:v>69181.977772250539</c:v>
                </c:pt>
                <c:pt idx="317" formatCode="0.00">
                  <c:v>69225.269386266125</c:v>
                </c:pt>
                <c:pt idx="318" formatCode="0.00">
                  <c:v>69268.519784879158</c:v>
                </c:pt>
                <c:pt idx="319" formatCode="0.00">
                  <c:v>69311.729460642571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5C-4F3D-991A-6646D0BF0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429439"/>
        <c:axId val="635435679"/>
      </c:lineChart>
      <c:catAx>
        <c:axId val="63542943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35679"/>
        <c:crosses val="autoZero"/>
        <c:auto val="1"/>
        <c:lblAlgn val="ctr"/>
        <c:lblOffset val="100"/>
        <c:noMultiLvlLbl val="0"/>
      </c:catAx>
      <c:valAx>
        <c:axId val="63543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2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281940</xdr:colOff>
      <xdr:row>2</xdr:row>
      <xdr:rowOff>167640</xdr:rowOff>
    </xdr:from>
    <xdr:ext cx="5311140" cy="326397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02393C-421B-D620-B26B-303637AF05D8}"/>
            </a:ext>
          </a:extLst>
        </xdr:cNvPr>
        <xdr:cNvSpPr txBox="1"/>
      </xdr:nvSpPr>
      <xdr:spPr>
        <a:xfrm>
          <a:off x="891540" y="533400"/>
          <a:ext cx="5311140" cy="32639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b="1"/>
            <a:t>🔹 Project Title</a:t>
          </a:r>
        </a:p>
        <a:p>
          <a:r>
            <a:rPr lang="en-IN"/>
            <a:t>Bank Nifty Forecasting &amp; Risk Analytics Dashboard using Time Series and Econometric Techniques</a:t>
          </a:r>
        </a:p>
        <a:p>
          <a:r>
            <a:rPr lang="en-IN" b="1"/>
            <a:t>🔹 Objective</a:t>
          </a:r>
        </a:p>
        <a:p>
          <a:r>
            <a:rPr lang="en-IN"/>
            <a:t>To analyze Bank Nifty performance, forecast future trends, and evaluate market risk using volatility modeling, drawdown analysis, and time-series forecasting.</a:t>
          </a:r>
        </a:p>
        <a:p>
          <a:r>
            <a:rPr lang="en-IN" b="1"/>
            <a:t>🔹 Tools Used</a:t>
          </a:r>
        </a:p>
        <a:p>
          <a:r>
            <a:rPr lang="en-IN"/>
            <a:t>Microsoft Excel (Advanced)</a:t>
          </a:r>
        </a:p>
        <a:p>
          <a:r>
            <a:rPr lang="en-IN"/>
            <a:t>Time Series Forecasting (ETS)</a:t>
          </a:r>
        </a:p>
        <a:p>
          <a:r>
            <a:rPr lang="en-IN"/>
            <a:t>Econometric Concepts</a:t>
          </a:r>
        </a:p>
        <a:p>
          <a:r>
            <a:rPr lang="en-IN"/>
            <a:t>Financial Analytics Techniques</a:t>
          </a:r>
        </a:p>
        <a:p>
          <a:r>
            <a:rPr lang="en-IN" b="1"/>
            <a:t>🔹 Key Metrics Used</a:t>
          </a:r>
        </a:p>
        <a:p>
          <a:r>
            <a:rPr lang="en-IN"/>
            <a:t>Daily Returns</a:t>
          </a:r>
        </a:p>
        <a:p>
          <a:r>
            <a:rPr lang="en-IN"/>
            <a:t>Rolling Volatility (20D)</a:t>
          </a:r>
        </a:p>
        <a:p>
          <a:r>
            <a:rPr lang="en-IN"/>
            <a:t>Moving Averages (20D &amp; 50D)</a:t>
          </a:r>
        </a:p>
        <a:p>
          <a:r>
            <a:rPr lang="en-IN"/>
            <a:t>Maximum Drawdown</a:t>
          </a:r>
        </a:p>
        <a:p>
          <a:r>
            <a:rPr lang="en-IN"/>
            <a:t>Forecast Model (ETS)</a:t>
          </a:r>
        </a:p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8468</xdr:colOff>
      <xdr:row>3</xdr:row>
      <xdr:rowOff>160866</xdr:rowOff>
    </xdr:from>
    <xdr:to>
      <xdr:col>5</xdr:col>
      <xdr:colOff>286625</xdr:colOff>
      <xdr:row>24</xdr:row>
      <xdr:rowOff>41909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14705-1744-4211-AFFB-15236863B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355446</xdr:colOff>
      <xdr:row>3</xdr:row>
      <xdr:rowOff>155351</xdr:rowOff>
    </xdr:from>
    <xdr:to>
      <xdr:col>8</xdr:col>
      <xdr:colOff>1363579</xdr:colOff>
      <xdr:row>24</xdr:row>
      <xdr:rowOff>27927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5075C2-F71C-4182-ABDE-4BEB70E79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84666</xdr:rowOff>
    </xdr:from>
    <xdr:to>
      <xdr:col>5</xdr:col>
      <xdr:colOff>286624</xdr:colOff>
      <xdr:row>43</xdr:row>
      <xdr:rowOff>156209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1C6934-74D5-4C74-917D-6722ACDFA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349542</xdr:colOff>
      <xdr:row>24</xdr:row>
      <xdr:rowOff>84667</xdr:rowOff>
    </xdr:from>
    <xdr:to>
      <xdr:col>9</xdr:col>
      <xdr:colOff>0</xdr:colOff>
      <xdr:row>43</xdr:row>
      <xdr:rowOff>167780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C1A3AE-F091-4AC8-9FDE-563B89CE5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1404701</xdr:colOff>
      <xdr:row>43</xdr:row>
      <xdr:rowOff>165652</xdr:rowOff>
    </xdr:from>
    <xdr:to>
      <xdr:col>7</xdr:col>
      <xdr:colOff>1183121</xdr:colOff>
      <xdr:row>53</xdr:row>
      <xdr:rowOff>149087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7B51BF8-FB15-49EE-5E67-4552A41CCA4C}"/>
            </a:ext>
          </a:extLst>
        </xdr:cNvPr>
        <xdr:cNvSpPr txBox="1"/>
      </xdr:nvSpPr>
      <xdr:spPr>
        <a:xfrm>
          <a:off x="2017614" y="8713304"/>
          <a:ext cx="7199637" cy="1805609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800" b="1"/>
            <a:t>Key</a:t>
          </a:r>
          <a:r>
            <a:rPr lang="en-IN" sz="1800" b="1" baseline="0"/>
            <a:t> Insights:</a:t>
          </a:r>
          <a:endParaRPr lang="en-IN" sz="1800" b="1"/>
        </a:p>
        <a:p>
          <a:pPr algn="l"/>
          <a:r>
            <a:rPr lang="en-IN" sz="1600"/>
            <a:t>1. Bank Nifty shows moderate volatility during the observed period</a:t>
          </a:r>
        </a:p>
        <a:p>
          <a:pPr algn="l"/>
          <a:r>
            <a:rPr lang="en-IN" sz="1600"/>
            <a:t>2. Significant drawdown indicates market risk phases.</a:t>
          </a:r>
        </a:p>
        <a:p>
          <a:pPr algn="l"/>
          <a:r>
            <a:rPr lang="en-IN" sz="1600"/>
            <a:t>3. Moving averages suggest trend shifts in recent months</a:t>
          </a:r>
        </a:p>
        <a:p>
          <a:pPr algn="l"/>
          <a:r>
            <a:rPr lang="en-IN" sz="1600"/>
            <a:t>4. Forecast model predicts short-term directional movement with uncertainty bands</a:t>
          </a:r>
        </a:p>
        <a:p>
          <a:pPr algn="l"/>
          <a:endParaRPr lang="en-IN" sz="1600"/>
        </a:p>
      </xdr:txBody>
    </xdr:sp>
    <xdr:clientData/>
  </xdr:twoCellAnchor>
  <xdr:oneCellAnchor>
    <xdr:from>
      <xdr:col>1</xdr:col>
      <xdr:colOff>248478</xdr:colOff>
      <xdr:row>54</xdr:row>
      <xdr:rowOff>49696</xdr:rowOff>
    </xdr:from>
    <xdr:ext cx="9624392" cy="301487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BFD3A8B-E446-F13E-A69B-019A9FD02C65}"/>
            </a:ext>
          </a:extLst>
        </xdr:cNvPr>
        <xdr:cNvSpPr txBox="1"/>
      </xdr:nvSpPr>
      <xdr:spPr>
        <a:xfrm>
          <a:off x="861391" y="10601739"/>
          <a:ext cx="9624392" cy="301487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800" b="1"/>
            <a:t>Summary</a:t>
          </a:r>
        </a:p>
        <a:p>
          <a:endParaRPr lang="en-IN" sz="1800"/>
        </a:p>
        <a:p>
          <a:r>
            <a:rPr lang="en-IN" sz="1800"/>
            <a:t>This project analyzes Bank Nifty time-series data to evaluate market performance, volatility, downside risk, and short-term forecast trends using financial analytics and econometric techniques.</a:t>
          </a:r>
          <a:br>
            <a:rPr lang="en-IN" sz="1800"/>
          </a:br>
          <a:r>
            <a:rPr lang="en-IN" sz="1800"/>
            <a:t>Daily returns, rolling volatility, moving averages, and maximum drawdown were calculated to assess risk behavior and market dynamics.</a:t>
          </a:r>
          <a:br>
            <a:rPr lang="en-IN" sz="1800"/>
          </a:br>
          <a:r>
            <a:rPr lang="en-IN" sz="1800"/>
            <a:t>An ETS-based forecasting model was applied on a continuous time index to predict future price movement while accounting for non-trading days.</a:t>
          </a:r>
          <a:br>
            <a:rPr lang="en-IN" sz="1800"/>
          </a:br>
          <a:r>
            <a:rPr lang="en-IN" sz="1800"/>
            <a:t>The dashboard provides a comprehensive view of trend direction, risk exposure, and forecast uncertainty, supporting data-driven financial analysis.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562EE3-E178-4779-999B-1739875A9E36}" name="Table3" displayName="Table3" ref="P2:Q6" totalsRowShown="0">
  <autoFilter ref="P2:Q6" xr:uid="{F2562EE3-E178-4779-999B-1739875A9E36}"/>
  <tableColumns count="2">
    <tableColumn id="1" xr3:uid="{81C955E6-F6CC-4157-9875-370A3967E75D}" name="KPI Metrics"/>
    <tableColumn id="2" xr3:uid="{7892B16E-A002-4F67-A76E-2CCCDD07E6D1}" name="Val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FA5416-081B-4E28-942D-15B6C236D460}" name="Table4" displayName="Table4" ref="A1:E321" totalsRowShown="0">
  <autoFilter ref="A1:E321" xr:uid="{04FA5416-081B-4E28-942D-15B6C236D460}"/>
  <tableColumns count="5">
    <tableColumn id="1" xr3:uid="{B6809D0D-7C51-4A5B-9066-D9843F06C49B}" name="DATE" dataDxfId="2"/>
    <tableColumn id="2" xr3:uid="{C1858A77-DAF3-4DA8-85A5-D3C9F31895FC}" name="Closing"/>
    <tableColumn id="3" xr3:uid="{9AE4E237-13FC-4AE9-AA82-FF092496BC96}" name="Forecast(Closing)">
      <calculatedColumnFormula>_xlfn.FORECAST.ETS(A2,$B$2:$B$161,$A$2:$A$161,1,1)</calculatedColumnFormula>
    </tableColumn>
    <tableColumn id="4" xr3:uid="{DC740CFB-EB47-4DDC-A85D-F99BF7EC0349}" name="Lower Confidence Bound(Closing)" dataDxfId="1">
      <calculatedColumnFormula>C2-_xlfn.FORECAST.ETS.CONFINT(A2,$B$2:$B$161,$A$2:$A$161,0.95,1,1)</calculatedColumnFormula>
    </tableColumn>
    <tableColumn id="5" xr3:uid="{FF08D3BE-6976-4463-9925-36BAB5F36487}" name="Upper Confidence Bound(Closing)" dataDxfId="0">
      <calculatedColumnFormula>C2+_xlfn.FORECAST.ETS.CONFINT(A2,$B$2:$B$161,$A$2:$A$161,0.95,1,1)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9348-EE94-465C-BE4D-E7DFCF311CB8}">
  <dimension ref="B2:K23"/>
  <sheetViews>
    <sheetView showGridLines="0" workbookViewId="0">
      <selection activeCell="L24" sqref="L24"/>
    </sheetView>
  </sheetViews>
  <sheetFormatPr defaultRowHeight="14.4" x14ac:dyDescent="0.3"/>
  <sheetData>
    <row r="2" spans="2:11" x14ac:dyDescent="0.3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2:11" x14ac:dyDescent="0.3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1" x14ac:dyDescent="0.3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2:11" x14ac:dyDescent="0.3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2:11" x14ac:dyDescent="0.3"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2:11" x14ac:dyDescent="0.3"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2:11" x14ac:dyDescent="0.3"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2:11" x14ac:dyDescent="0.3"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2:11" x14ac:dyDescent="0.3"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2:11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2:11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2:11" x14ac:dyDescent="0.3"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2:11" x14ac:dyDescent="0.3"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2:1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2:11" x14ac:dyDescent="0.3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2:11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2:11" x14ac:dyDescent="0.3"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2:1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2:1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2:1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2:1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39EA-39B0-487A-8605-F25DB99D6E5F}">
  <dimension ref="A1:E161"/>
  <sheetViews>
    <sheetView workbookViewId="0">
      <selection activeCell="F3" sqref="F3"/>
    </sheetView>
  </sheetViews>
  <sheetFormatPr defaultRowHeight="14.4" x14ac:dyDescent="0.3"/>
  <cols>
    <col min="1" max="1" width="10.77734375" style="1" bestFit="1" customWidth="1"/>
    <col min="2" max="2" width="9.6640625" bestFit="1" customWidth="1"/>
    <col min="3" max="6" width="9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45839</v>
      </c>
      <c r="B2">
        <v>57375.8</v>
      </c>
      <c r="C2">
        <v>57533.85</v>
      </c>
      <c r="D2">
        <v>57150.35</v>
      </c>
      <c r="E2">
        <v>57459.45</v>
      </c>
    </row>
    <row r="3" spans="1:5" x14ac:dyDescent="0.3">
      <c r="A3" s="1">
        <v>45840</v>
      </c>
      <c r="B3">
        <v>57558.2</v>
      </c>
      <c r="C3">
        <v>57628.4</v>
      </c>
      <c r="D3">
        <v>56833.8</v>
      </c>
      <c r="E3">
        <v>56999.199999999997</v>
      </c>
    </row>
    <row r="4" spans="1:5" x14ac:dyDescent="0.3">
      <c r="A4" s="1">
        <v>45841</v>
      </c>
      <c r="B4">
        <v>57050.400000000001</v>
      </c>
      <c r="C4">
        <v>57193.25</v>
      </c>
      <c r="D4">
        <v>56764.1</v>
      </c>
      <c r="E4">
        <v>56791.95</v>
      </c>
    </row>
    <row r="5" spans="1:5" x14ac:dyDescent="0.3">
      <c r="A5" s="1">
        <v>45842</v>
      </c>
      <c r="B5">
        <v>56825.25</v>
      </c>
      <c r="C5">
        <v>57075.1</v>
      </c>
      <c r="D5">
        <v>56623.6</v>
      </c>
      <c r="E5">
        <v>57031.9</v>
      </c>
    </row>
    <row r="6" spans="1:5" x14ac:dyDescent="0.3">
      <c r="A6" s="1">
        <v>45845</v>
      </c>
      <c r="B6">
        <v>56938.7</v>
      </c>
      <c r="C6">
        <v>57152.2</v>
      </c>
      <c r="D6">
        <v>56838.55</v>
      </c>
      <c r="E6">
        <v>56949.2</v>
      </c>
    </row>
    <row r="7" spans="1:5" x14ac:dyDescent="0.3">
      <c r="A7" s="1">
        <v>45846</v>
      </c>
      <c r="B7">
        <v>56942.55</v>
      </c>
      <c r="C7">
        <v>57303.3</v>
      </c>
      <c r="D7">
        <v>56923.05</v>
      </c>
      <c r="E7">
        <v>57256.3</v>
      </c>
    </row>
    <row r="8" spans="1:5" x14ac:dyDescent="0.3">
      <c r="A8" s="1">
        <v>45847</v>
      </c>
      <c r="B8">
        <v>57199.75</v>
      </c>
      <c r="C8">
        <v>57290.65</v>
      </c>
      <c r="D8">
        <v>57037.9</v>
      </c>
      <c r="E8">
        <v>57213.55</v>
      </c>
    </row>
    <row r="9" spans="1:5" x14ac:dyDescent="0.3">
      <c r="A9" s="1">
        <v>45848</v>
      </c>
      <c r="B9">
        <v>57339.75</v>
      </c>
      <c r="C9">
        <v>57363.7</v>
      </c>
      <c r="D9">
        <v>56886.6</v>
      </c>
      <c r="E9">
        <v>56956</v>
      </c>
    </row>
    <row r="10" spans="1:5" x14ac:dyDescent="0.3">
      <c r="A10" s="1">
        <v>45849</v>
      </c>
      <c r="B10">
        <v>56843.45</v>
      </c>
      <c r="C10">
        <v>57091.05</v>
      </c>
      <c r="D10">
        <v>56607.75</v>
      </c>
      <c r="E10">
        <v>56754.7</v>
      </c>
    </row>
    <row r="11" spans="1:5" x14ac:dyDescent="0.3">
      <c r="A11" s="1">
        <v>45852</v>
      </c>
      <c r="B11">
        <v>56780.75</v>
      </c>
      <c r="C11">
        <v>56896.3</v>
      </c>
      <c r="D11">
        <v>56594.25</v>
      </c>
      <c r="E11">
        <v>56765.35</v>
      </c>
    </row>
    <row r="12" spans="1:5" x14ac:dyDescent="0.3">
      <c r="A12" s="1">
        <v>45853</v>
      </c>
      <c r="B12">
        <v>56709.2</v>
      </c>
      <c r="C12">
        <v>57134.95</v>
      </c>
      <c r="D12">
        <v>56707.8</v>
      </c>
      <c r="E12">
        <v>57006.65</v>
      </c>
    </row>
    <row r="13" spans="1:5" x14ac:dyDescent="0.3">
      <c r="A13" s="1">
        <v>45854</v>
      </c>
      <c r="B13">
        <v>57111.25</v>
      </c>
      <c r="C13">
        <v>57276.55</v>
      </c>
      <c r="D13">
        <v>56937.599999999999</v>
      </c>
      <c r="E13">
        <v>57168.95</v>
      </c>
    </row>
    <row r="14" spans="1:5" x14ac:dyDescent="0.3">
      <c r="A14" s="1">
        <v>45855</v>
      </c>
      <c r="B14">
        <v>57231.95</v>
      </c>
      <c r="C14">
        <v>57262.85</v>
      </c>
      <c r="D14">
        <v>56780.15</v>
      </c>
      <c r="E14">
        <v>56828.800000000003</v>
      </c>
    </row>
    <row r="15" spans="1:5" x14ac:dyDescent="0.3">
      <c r="A15" s="1">
        <v>45856</v>
      </c>
      <c r="B15">
        <v>56524.25</v>
      </c>
      <c r="C15">
        <v>56705.15</v>
      </c>
      <c r="D15">
        <v>56204.85</v>
      </c>
      <c r="E15">
        <v>56283</v>
      </c>
    </row>
    <row r="16" spans="1:5" x14ac:dyDescent="0.3">
      <c r="A16" s="1">
        <v>45859</v>
      </c>
      <c r="B16">
        <v>56558.9</v>
      </c>
      <c r="C16">
        <v>56983.45</v>
      </c>
      <c r="D16">
        <v>56255.7</v>
      </c>
      <c r="E16">
        <v>56952.75</v>
      </c>
    </row>
    <row r="17" spans="1:5" x14ac:dyDescent="0.3">
      <c r="A17" s="1">
        <v>45860</v>
      </c>
      <c r="B17">
        <v>57253.35</v>
      </c>
      <c r="C17">
        <v>57286.15</v>
      </c>
      <c r="D17">
        <v>56692</v>
      </c>
      <c r="E17">
        <v>56756</v>
      </c>
    </row>
    <row r="18" spans="1:5" x14ac:dyDescent="0.3">
      <c r="A18" s="1">
        <v>45861</v>
      </c>
      <c r="B18">
        <v>56918.15</v>
      </c>
      <c r="C18">
        <v>57249</v>
      </c>
      <c r="D18">
        <v>56715.8</v>
      </c>
      <c r="E18">
        <v>57210.45</v>
      </c>
    </row>
    <row r="19" spans="1:5" x14ac:dyDescent="0.3">
      <c r="A19" s="1">
        <v>45862</v>
      </c>
      <c r="B19">
        <v>57316.6</v>
      </c>
      <c r="C19">
        <v>57316.6</v>
      </c>
      <c r="D19">
        <v>56850.9</v>
      </c>
      <c r="E19">
        <v>57066.05</v>
      </c>
    </row>
    <row r="20" spans="1:5" x14ac:dyDescent="0.3">
      <c r="A20" s="1">
        <v>45863</v>
      </c>
      <c r="B20">
        <v>57170.7</v>
      </c>
      <c r="C20">
        <v>57170.7</v>
      </c>
      <c r="D20">
        <v>56439.4</v>
      </c>
      <c r="E20">
        <v>56528.9</v>
      </c>
    </row>
    <row r="21" spans="1:5" x14ac:dyDescent="0.3">
      <c r="A21" s="1">
        <v>45866</v>
      </c>
      <c r="B21">
        <v>56215.1</v>
      </c>
      <c r="C21">
        <v>56578.400000000001</v>
      </c>
      <c r="D21">
        <v>55997.45</v>
      </c>
      <c r="E21">
        <v>56084.9</v>
      </c>
    </row>
    <row r="22" spans="1:5" x14ac:dyDescent="0.3">
      <c r="A22" s="1">
        <v>45867</v>
      </c>
      <c r="B22">
        <v>55881.8</v>
      </c>
      <c r="C22">
        <v>56296.4</v>
      </c>
      <c r="D22">
        <v>55843.25</v>
      </c>
      <c r="E22">
        <v>56222</v>
      </c>
    </row>
    <row r="23" spans="1:5" x14ac:dyDescent="0.3">
      <c r="A23" s="1">
        <v>45868</v>
      </c>
      <c r="B23">
        <v>56310.1</v>
      </c>
      <c r="C23">
        <v>56321.15</v>
      </c>
      <c r="D23">
        <v>56064.55</v>
      </c>
      <c r="E23">
        <v>56150.7</v>
      </c>
    </row>
    <row r="24" spans="1:5" x14ac:dyDescent="0.3">
      <c r="A24" s="1">
        <v>45869</v>
      </c>
      <c r="B24">
        <v>55728.15</v>
      </c>
      <c r="C24">
        <v>56406.2</v>
      </c>
      <c r="D24">
        <v>55547.35</v>
      </c>
      <c r="E24">
        <v>55961.95</v>
      </c>
    </row>
    <row r="25" spans="1:5" x14ac:dyDescent="0.3">
      <c r="A25" s="1">
        <v>45870</v>
      </c>
      <c r="B25">
        <v>55897.15</v>
      </c>
      <c r="C25">
        <v>56097.599999999999</v>
      </c>
      <c r="D25">
        <v>55562.1</v>
      </c>
      <c r="E25">
        <v>55617.599999999999</v>
      </c>
    </row>
    <row r="26" spans="1:5" x14ac:dyDescent="0.3">
      <c r="A26" s="1">
        <v>45873</v>
      </c>
      <c r="B26">
        <v>55557.5</v>
      </c>
      <c r="C26">
        <v>55752.45</v>
      </c>
      <c r="D26">
        <v>55437.3</v>
      </c>
      <c r="E26">
        <v>55619.35</v>
      </c>
    </row>
    <row r="27" spans="1:5" x14ac:dyDescent="0.3">
      <c r="A27" s="1">
        <v>45874</v>
      </c>
      <c r="B27">
        <v>55545.05</v>
      </c>
      <c r="C27">
        <v>55648.15</v>
      </c>
      <c r="D27">
        <v>55202.85</v>
      </c>
      <c r="E27">
        <v>55360.25</v>
      </c>
    </row>
    <row r="28" spans="1:5" x14ac:dyDescent="0.3">
      <c r="A28" s="1">
        <v>45875</v>
      </c>
      <c r="B28">
        <v>55329.8</v>
      </c>
      <c r="C28">
        <v>55559.4</v>
      </c>
      <c r="D28">
        <v>55227.7</v>
      </c>
      <c r="E28">
        <v>55411.15</v>
      </c>
    </row>
    <row r="29" spans="1:5" x14ac:dyDescent="0.3">
      <c r="A29" s="1">
        <v>45876</v>
      </c>
      <c r="B29">
        <v>55215.65</v>
      </c>
      <c r="C29">
        <v>55614.8</v>
      </c>
      <c r="D29">
        <v>54973.55</v>
      </c>
      <c r="E29">
        <v>55521.15</v>
      </c>
    </row>
    <row r="30" spans="1:5" x14ac:dyDescent="0.3">
      <c r="A30" s="1">
        <v>45877</v>
      </c>
      <c r="B30">
        <v>55609.35</v>
      </c>
      <c r="C30">
        <v>55652.6</v>
      </c>
      <c r="D30">
        <v>54905.599999999999</v>
      </c>
      <c r="E30">
        <v>55004.9</v>
      </c>
    </row>
    <row r="31" spans="1:5" x14ac:dyDescent="0.3">
      <c r="A31" s="1">
        <v>45880</v>
      </c>
      <c r="B31">
        <v>54999.35</v>
      </c>
      <c r="C31">
        <v>55582.15</v>
      </c>
      <c r="D31">
        <v>54927.55</v>
      </c>
      <c r="E31">
        <v>55510.75</v>
      </c>
    </row>
    <row r="32" spans="1:5" x14ac:dyDescent="0.3">
      <c r="A32" s="1">
        <v>45881</v>
      </c>
      <c r="B32">
        <v>55441.1</v>
      </c>
      <c r="C32">
        <v>55566.7</v>
      </c>
      <c r="D32">
        <v>55001.5</v>
      </c>
      <c r="E32">
        <v>55043.7</v>
      </c>
    </row>
    <row r="33" spans="1:5" x14ac:dyDescent="0.3">
      <c r="A33" s="1">
        <v>45882</v>
      </c>
      <c r="B33">
        <v>55340.05</v>
      </c>
      <c r="C33">
        <v>55340.05</v>
      </c>
      <c r="D33">
        <v>55026.95</v>
      </c>
      <c r="E33">
        <v>55181.45</v>
      </c>
    </row>
    <row r="34" spans="1:5" x14ac:dyDescent="0.3">
      <c r="A34" s="1">
        <v>45883</v>
      </c>
      <c r="B34">
        <v>55102.55</v>
      </c>
      <c r="C34">
        <v>55472.800000000003</v>
      </c>
      <c r="D34">
        <v>55074.3</v>
      </c>
      <c r="E34">
        <v>55341.85</v>
      </c>
    </row>
    <row r="35" spans="1:5" x14ac:dyDescent="0.3">
      <c r="A35" s="1">
        <v>45887</v>
      </c>
      <c r="B35">
        <v>55940.6</v>
      </c>
      <c r="C35">
        <v>56156.3</v>
      </c>
      <c r="D35">
        <v>55647.65</v>
      </c>
      <c r="E35">
        <v>55734.9</v>
      </c>
    </row>
    <row r="36" spans="1:5" x14ac:dyDescent="0.3">
      <c r="A36" s="1">
        <v>45888</v>
      </c>
      <c r="B36">
        <v>55622.3</v>
      </c>
      <c r="C36">
        <v>55965.55</v>
      </c>
      <c r="D36">
        <v>55608.15</v>
      </c>
      <c r="E36">
        <v>55865.15</v>
      </c>
    </row>
    <row r="37" spans="1:5" x14ac:dyDescent="0.3">
      <c r="A37" s="1">
        <v>45889</v>
      </c>
      <c r="B37">
        <v>55751.5</v>
      </c>
      <c r="C37">
        <v>55812.6</v>
      </c>
      <c r="D37">
        <v>55577.35</v>
      </c>
      <c r="E37">
        <v>55698.5</v>
      </c>
    </row>
    <row r="38" spans="1:5" x14ac:dyDescent="0.3">
      <c r="A38" s="1">
        <v>45890</v>
      </c>
      <c r="B38">
        <v>55972.05</v>
      </c>
      <c r="C38">
        <v>55993.65</v>
      </c>
      <c r="D38">
        <v>55708.2</v>
      </c>
      <c r="E38">
        <v>55755.45</v>
      </c>
    </row>
    <row r="39" spans="1:5" x14ac:dyDescent="0.3">
      <c r="A39" s="1">
        <v>45891</v>
      </c>
      <c r="B39">
        <v>55669.25</v>
      </c>
      <c r="C39">
        <v>55745</v>
      </c>
      <c r="D39">
        <v>55102.6</v>
      </c>
      <c r="E39">
        <v>55149.4</v>
      </c>
    </row>
    <row r="40" spans="1:5" x14ac:dyDescent="0.3">
      <c r="A40" s="1">
        <v>45894</v>
      </c>
      <c r="B40">
        <v>55147.75</v>
      </c>
      <c r="C40">
        <v>55306</v>
      </c>
      <c r="D40">
        <v>55048.4</v>
      </c>
      <c r="E40">
        <v>55139.3</v>
      </c>
    </row>
    <row r="41" spans="1:5" x14ac:dyDescent="0.3">
      <c r="A41" s="1">
        <v>45895</v>
      </c>
      <c r="B41">
        <v>54999.05</v>
      </c>
      <c r="C41">
        <v>55068.9</v>
      </c>
      <c r="D41">
        <v>54396.1</v>
      </c>
      <c r="E41">
        <v>54450.45</v>
      </c>
    </row>
    <row r="42" spans="1:5" x14ac:dyDescent="0.3">
      <c r="A42" s="1">
        <v>45897</v>
      </c>
      <c r="B42">
        <v>54256</v>
      </c>
      <c r="C42">
        <v>54382.25</v>
      </c>
      <c r="D42">
        <v>53768.45</v>
      </c>
      <c r="E42">
        <v>53820.35</v>
      </c>
    </row>
    <row r="43" spans="1:5" x14ac:dyDescent="0.3">
      <c r="A43" s="1">
        <v>45898</v>
      </c>
      <c r="B43">
        <v>53660.35</v>
      </c>
      <c r="C43">
        <v>54086</v>
      </c>
      <c r="D43">
        <v>53606.45</v>
      </c>
      <c r="E43">
        <v>53655.65</v>
      </c>
    </row>
    <row r="44" spans="1:5" x14ac:dyDescent="0.3">
      <c r="A44" s="1">
        <v>45901</v>
      </c>
      <c r="B44">
        <v>53658.15</v>
      </c>
      <c r="C44">
        <v>54035.85</v>
      </c>
      <c r="D44">
        <v>53658.15</v>
      </c>
      <c r="E44">
        <v>54002.45</v>
      </c>
    </row>
    <row r="45" spans="1:5" x14ac:dyDescent="0.3">
      <c r="A45" s="1">
        <v>45902</v>
      </c>
      <c r="B45">
        <v>54038.25</v>
      </c>
      <c r="C45">
        <v>54160.95</v>
      </c>
      <c r="D45">
        <v>53578</v>
      </c>
      <c r="E45">
        <v>53661</v>
      </c>
    </row>
    <row r="46" spans="1:5" x14ac:dyDescent="0.3">
      <c r="A46" s="1">
        <v>45903</v>
      </c>
      <c r="B46">
        <v>53630.75</v>
      </c>
      <c r="C46">
        <v>54136.15</v>
      </c>
      <c r="D46">
        <v>53561.75</v>
      </c>
      <c r="E46">
        <v>54067.55</v>
      </c>
    </row>
    <row r="47" spans="1:5" x14ac:dyDescent="0.3">
      <c r="A47" s="1">
        <v>45904</v>
      </c>
      <c r="B47">
        <v>54379.6</v>
      </c>
      <c r="C47">
        <v>54450.55</v>
      </c>
      <c r="D47">
        <v>53971.85</v>
      </c>
      <c r="E47">
        <v>54075.45</v>
      </c>
    </row>
    <row r="48" spans="1:5" x14ac:dyDescent="0.3">
      <c r="A48" s="1">
        <v>45905</v>
      </c>
      <c r="B48">
        <v>54308.05</v>
      </c>
      <c r="C48">
        <v>54308.05</v>
      </c>
      <c r="D48">
        <v>53719.55</v>
      </c>
      <c r="E48">
        <v>54114.55</v>
      </c>
    </row>
    <row r="49" spans="1:5" x14ac:dyDescent="0.3">
      <c r="A49" s="1">
        <v>45908</v>
      </c>
      <c r="B49">
        <v>54215.4</v>
      </c>
      <c r="C49">
        <v>54518.7</v>
      </c>
      <c r="D49">
        <v>54067.15</v>
      </c>
      <c r="E49">
        <v>54186.9</v>
      </c>
    </row>
    <row r="50" spans="1:5" x14ac:dyDescent="0.3">
      <c r="A50" s="1">
        <v>45909</v>
      </c>
      <c r="B50">
        <v>54330.55</v>
      </c>
      <c r="C50">
        <v>54350.65</v>
      </c>
      <c r="D50">
        <v>54079.45</v>
      </c>
      <c r="E50">
        <v>54216.1</v>
      </c>
    </row>
    <row r="51" spans="1:5" x14ac:dyDescent="0.3">
      <c r="A51" s="1">
        <v>45910</v>
      </c>
      <c r="B51">
        <v>54554.75</v>
      </c>
      <c r="C51">
        <v>54705.2</v>
      </c>
      <c r="D51">
        <v>54400</v>
      </c>
      <c r="E51">
        <v>54536</v>
      </c>
    </row>
    <row r="52" spans="1:5" x14ac:dyDescent="0.3">
      <c r="A52" s="1">
        <v>45911</v>
      </c>
      <c r="B52">
        <v>54413.05</v>
      </c>
      <c r="C52">
        <v>54757.45</v>
      </c>
      <c r="D52">
        <v>54402.400000000001</v>
      </c>
      <c r="E52">
        <v>54669.599999999999</v>
      </c>
    </row>
    <row r="53" spans="1:5" x14ac:dyDescent="0.3">
      <c r="A53" s="1">
        <v>45912</v>
      </c>
      <c r="B53">
        <v>54781.55</v>
      </c>
      <c r="C53">
        <v>54852.25</v>
      </c>
      <c r="D53">
        <v>54580.35</v>
      </c>
      <c r="E53">
        <v>54809.3</v>
      </c>
    </row>
    <row r="54" spans="1:5" x14ac:dyDescent="0.3">
      <c r="A54" s="1">
        <v>45915</v>
      </c>
      <c r="B54">
        <v>54884.05</v>
      </c>
      <c r="C54">
        <v>55018.7</v>
      </c>
      <c r="D54">
        <v>54807.5</v>
      </c>
      <c r="E54">
        <v>54887.85</v>
      </c>
    </row>
    <row r="55" spans="1:5" x14ac:dyDescent="0.3">
      <c r="A55" s="1">
        <v>45916</v>
      </c>
      <c r="B55">
        <v>54778.400000000001</v>
      </c>
      <c r="C55">
        <v>55185.45</v>
      </c>
      <c r="D55">
        <v>54777.75</v>
      </c>
      <c r="E55">
        <v>55147.6</v>
      </c>
    </row>
    <row r="56" spans="1:5" x14ac:dyDescent="0.3">
      <c r="A56" s="1">
        <v>45917</v>
      </c>
      <c r="B56">
        <v>55158.35</v>
      </c>
      <c r="C56">
        <v>55540.75</v>
      </c>
      <c r="D56">
        <v>55146.55</v>
      </c>
      <c r="E56">
        <v>55493.3</v>
      </c>
    </row>
    <row r="57" spans="1:5" x14ac:dyDescent="0.3">
      <c r="A57" s="1">
        <v>45918</v>
      </c>
      <c r="B57">
        <v>55797.1</v>
      </c>
      <c r="C57">
        <v>55835.25</v>
      </c>
      <c r="D57">
        <v>55490.9</v>
      </c>
      <c r="E57">
        <v>55727.45</v>
      </c>
    </row>
    <row r="58" spans="1:5" x14ac:dyDescent="0.3">
      <c r="A58" s="1">
        <v>45919</v>
      </c>
      <c r="B58">
        <v>55647.95</v>
      </c>
      <c r="C58">
        <v>55688.75</v>
      </c>
      <c r="D58">
        <v>55355.3</v>
      </c>
      <c r="E58">
        <v>55458.85</v>
      </c>
    </row>
    <row r="59" spans="1:5" x14ac:dyDescent="0.3">
      <c r="A59" s="1">
        <v>45922</v>
      </c>
      <c r="B59">
        <v>55429.3</v>
      </c>
      <c r="C59">
        <v>55666.35</v>
      </c>
      <c r="D59">
        <v>55215.6</v>
      </c>
      <c r="E59">
        <v>55284.75</v>
      </c>
    </row>
    <row r="60" spans="1:5" x14ac:dyDescent="0.3">
      <c r="A60" s="1">
        <v>45923</v>
      </c>
      <c r="B60">
        <v>55248.7</v>
      </c>
      <c r="C60">
        <v>55662</v>
      </c>
      <c r="D60">
        <v>55159</v>
      </c>
      <c r="E60">
        <v>55509.75</v>
      </c>
    </row>
    <row r="61" spans="1:5" x14ac:dyDescent="0.3">
      <c r="A61" s="1">
        <v>45924</v>
      </c>
      <c r="B61">
        <v>55387.1</v>
      </c>
      <c r="C61">
        <v>55511.1</v>
      </c>
      <c r="D61">
        <v>55040.45</v>
      </c>
      <c r="E61">
        <v>55121.5</v>
      </c>
    </row>
    <row r="62" spans="1:5" x14ac:dyDescent="0.3">
      <c r="A62" s="1">
        <v>45925</v>
      </c>
      <c r="B62">
        <v>55061.65</v>
      </c>
      <c r="C62">
        <v>55276.65</v>
      </c>
      <c r="D62">
        <v>54903.3</v>
      </c>
      <c r="E62">
        <v>54976.2</v>
      </c>
    </row>
    <row r="63" spans="1:5" x14ac:dyDescent="0.3">
      <c r="A63" s="1">
        <v>45926</v>
      </c>
      <c r="B63">
        <v>54797.9</v>
      </c>
      <c r="C63">
        <v>54897</v>
      </c>
      <c r="D63">
        <v>54310.95</v>
      </c>
      <c r="E63">
        <v>54389.35</v>
      </c>
    </row>
    <row r="64" spans="1:5" x14ac:dyDescent="0.3">
      <c r="A64" s="1">
        <v>45929</v>
      </c>
      <c r="B64">
        <v>54460.4</v>
      </c>
      <c r="C64">
        <v>54686.05</v>
      </c>
      <c r="D64">
        <v>54226.6</v>
      </c>
      <c r="E64">
        <v>54461</v>
      </c>
    </row>
    <row r="65" spans="1:5" x14ac:dyDescent="0.3">
      <c r="A65" s="1">
        <v>45930</v>
      </c>
      <c r="B65">
        <v>54705.5</v>
      </c>
      <c r="C65">
        <v>54793.05</v>
      </c>
      <c r="D65">
        <v>54502.95</v>
      </c>
      <c r="E65">
        <v>54635.85</v>
      </c>
    </row>
    <row r="66" spans="1:5" x14ac:dyDescent="0.3">
      <c r="A66" s="1">
        <v>45931</v>
      </c>
      <c r="B66">
        <v>54653.9</v>
      </c>
      <c r="C66">
        <v>55406.75</v>
      </c>
      <c r="D66">
        <v>54582.55</v>
      </c>
      <c r="E66">
        <v>55347.95</v>
      </c>
    </row>
    <row r="67" spans="1:5" x14ac:dyDescent="0.3">
      <c r="A67" s="1">
        <v>45933</v>
      </c>
      <c r="B67">
        <v>55182.6</v>
      </c>
      <c r="C67">
        <v>55616.45</v>
      </c>
      <c r="D67">
        <v>55177</v>
      </c>
      <c r="E67">
        <v>55589.25</v>
      </c>
    </row>
    <row r="68" spans="1:5" x14ac:dyDescent="0.3">
      <c r="A68" s="1">
        <v>45936</v>
      </c>
      <c r="B68">
        <v>55834.7</v>
      </c>
      <c r="C68">
        <v>56164.2</v>
      </c>
      <c r="D68">
        <v>55727.25</v>
      </c>
      <c r="E68">
        <v>56104.85</v>
      </c>
    </row>
    <row r="69" spans="1:5" x14ac:dyDescent="0.3">
      <c r="A69" s="1">
        <v>45937</v>
      </c>
      <c r="B69">
        <v>56126.400000000001</v>
      </c>
      <c r="C69">
        <v>56502.45</v>
      </c>
      <c r="D69">
        <v>56025.05</v>
      </c>
      <c r="E69">
        <v>56239.35</v>
      </c>
    </row>
    <row r="70" spans="1:5" x14ac:dyDescent="0.3">
      <c r="A70" s="1">
        <v>45938</v>
      </c>
      <c r="B70">
        <v>56098.5</v>
      </c>
      <c r="C70">
        <v>56303.6</v>
      </c>
      <c r="D70">
        <v>55821</v>
      </c>
      <c r="E70">
        <v>56018.25</v>
      </c>
    </row>
    <row r="71" spans="1:5" x14ac:dyDescent="0.3">
      <c r="A71" s="1">
        <v>45939</v>
      </c>
      <c r="B71">
        <v>55979</v>
      </c>
      <c r="C71">
        <v>56286.25</v>
      </c>
      <c r="D71">
        <v>55843.9</v>
      </c>
      <c r="E71">
        <v>56192.05</v>
      </c>
    </row>
    <row r="72" spans="1:5" x14ac:dyDescent="0.3">
      <c r="A72" s="1">
        <v>45940</v>
      </c>
      <c r="B72">
        <v>56168.6</v>
      </c>
      <c r="C72">
        <v>56760.25</v>
      </c>
      <c r="D72">
        <v>56152.45</v>
      </c>
      <c r="E72">
        <v>56609.75</v>
      </c>
    </row>
    <row r="73" spans="1:5" x14ac:dyDescent="0.3">
      <c r="A73" s="1">
        <v>45943</v>
      </c>
      <c r="B73">
        <v>56337.05</v>
      </c>
      <c r="C73">
        <v>56770.9</v>
      </c>
      <c r="D73">
        <v>56327.4</v>
      </c>
      <c r="E73">
        <v>56625</v>
      </c>
    </row>
    <row r="74" spans="1:5" x14ac:dyDescent="0.3">
      <c r="A74" s="1">
        <v>45944</v>
      </c>
      <c r="B74">
        <v>56598.65</v>
      </c>
      <c r="C74">
        <v>56721.3</v>
      </c>
      <c r="D74">
        <v>56230.15</v>
      </c>
      <c r="E74">
        <v>56496.45</v>
      </c>
    </row>
    <row r="75" spans="1:5" x14ac:dyDescent="0.3">
      <c r="A75" s="1">
        <v>45945</v>
      </c>
      <c r="B75">
        <v>56528.95</v>
      </c>
      <c r="C75">
        <v>56922.7</v>
      </c>
      <c r="D75">
        <v>56491.85</v>
      </c>
      <c r="E75">
        <v>56799.9</v>
      </c>
    </row>
    <row r="76" spans="1:5" x14ac:dyDescent="0.3">
      <c r="A76" s="1">
        <v>45946</v>
      </c>
      <c r="B76">
        <v>57139.95</v>
      </c>
      <c r="C76">
        <v>57525.8</v>
      </c>
      <c r="D76">
        <v>56994.7</v>
      </c>
      <c r="E76">
        <v>57422.55</v>
      </c>
    </row>
    <row r="77" spans="1:5" x14ac:dyDescent="0.3">
      <c r="A77" s="1">
        <v>45947</v>
      </c>
      <c r="B77">
        <v>57362.9</v>
      </c>
      <c r="C77">
        <v>57830.2</v>
      </c>
      <c r="D77">
        <v>57238.65</v>
      </c>
      <c r="E77">
        <v>57713.35</v>
      </c>
    </row>
    <row r="78" spans="1:5" x14ac:dyDescent="0.3">
      <c r="A78" s="1">
        <v>45950</v>
      </c>
      <c r="B78">
        <v>57872.85</v>
      </c>
      <c r="C78">
        <v>58261.55</v>
      </c>
      <c r="D78">
        <v>57872.85</v>
      </c>
      <c r="E78">
        <v>58033.2</v>
      </c>
    </row>
    <row r="79" spans="1:5" x14ac:dyDescent="0.3">
      <c r="A79" s="1">
        <v>45951</v>
      </c>
      <c r="B79">
        <v>58063.4</v>
      </c>
      <c r="C79">
        <v>58155.55</v>
      </c>
      <c r="D79">
        <v>57887.199999999997</v>
      </c>
      <c r="E79">
        <v>58007.199999999997</v>
      </c>
    </row>
    <row r="80" spans="1:5" x14ac:dyDescent="0.3">
      <c r="A80" s="1">
        <v>45953</v>
      </c>
      <c r="B80">
        <v>58314.55</v>
      </c>
      <c r="C80">
        <v>58577.5</v>
      </c>
      <c r="D80">
        <v>57951.45</v>
      </c>
      <c r="E80">
        <v>58078.05</v>
      </c>
    </row>
    <row r="81" spans="1:5" x14ac:dyDescent="0.3">
      <c r="A81" s="1">
        <v>45954</v>
      </c>
      <c r="B81">
        <v>58172.75</v>
      </c>
      <c r="C81">
        <v>58232.9</v>
      </c>
      <c r="D81">
        <v>57482.05</v>
      </c>
      <c r="E81">
        <v>57699.6</v>
      </c>
    </row>
    <row r="82" spans="1:5" x14ac:dyDescent="0.3">
      <c r="A82" s="1">
        <v>45957</v>
      </c>
      <c r="B82">
        <v>57796.45</v>
      </c>
      <c r="C82">
        <v>58224.55</v>
      </c>
      <c r="D82">
        <v>57652.75</v>
      </c>
      <c r="E82">
        <v>58114.25</v>
      </c>
    </row>
    <row r="83" spans="1:5" x14ac:dyDescent="0.3">
      <c r="A83" s="1">
        <v>45958</v>
      </c>
      <c r="B83">
        <v>58006.55</v>
      </c>
      <c r="C83">
        <v>58313.8</v>
      </c>
      <c r="D83">
        <v>57770.35</v>
      </c>
      <c r="E83">
        <v>58214.1</v>
      </c>
    </row>
    <row r="84" spans="1:5" x14ac:dyDescent="0.3">
      <c r="A84" s="1">
        <v>45959</v>
      </c>
      <c r="B84">
        <v>58316.25</v>
      </c>
      <c r="C84">
        <v>58469.9</v>
      </c>
      <c r="D84">
        <v>58087.05</v>
      </c>
      <c r="E84">
        <v>58385.25</v>
      </c>
    </row>
    <row r="85" spans="1:5" x14ac:dyDescent="0.3">
      <c r="A85" s="1">
        <v>45960</v>
      </c>
      <c r="B85">
        <v>58152.05</v>
      </c>
      <c r="C85">
        <v>58331.199999999997</v>
      </c>
      <c r="D85">
        <v>57999.199999999997</v>
      </c>
      <c r="E85">
        <v>58031.1</v>
      </c>
    </row>
    <row r="86" spans="1:5" x14ac:dyDescent="0.3">
      <c r="A86" s="1">
        <v>45961</v>
      </c>
      <c r="B86">
        <v>57942.45</v>
      </c>
      <c r="C86">
        <v>58254.95</v>
      </c>
      <c r="D86">
        <v>57656.95</v>
      </c>
      <c r="E86">
        <v>57776.35</v>
      </c>
    </row>
    <row r="87" spans="1:5" x14ac:dyDescent="0.3">
      <c r="A87" s="1">
        <v>45964</v>
      </c>
      <c r="B87">
        <v>57726.85</v>
      </c>
      <c r="C87">
        <v>58247.55</v>
      </c>
      <c r="D87">
        <v>57718.400000000001</v>
      </c>
      <c r="E87">
        <v>58101.45</v>
      </c>
    </row>
    <row r="88" spans="1:5" x14ac:dyDescent="0.3">
      <c r="A88" s="1">
        <v>45965</v>
      </c>
      <c r="B88">
        <v>57966.65</v>
      </c>
      <c r="C88">
        <v>58119.65</v>
      </c>
      <c r="D88">
        <v>57732.95</v>
      </c>
      <c r="E88">
        <v>57827.05</v>
      </c>
    </row>
    <row r="89" spans="1:5" x14ac:dyDescent="0.3">
      <c r="A89" s="1">
        <v>45967</v>
      </c>
      <c r="B89">
        <v>57714.8</v>
      </c>
      <c r="C89">
        <v>57945.05</v>
      </c>
      <c r="D89">
        <v>57521</v>
      </c>
      <c r="E89">
        <v>57554.25</v>
      </c>
    </row>
    <row r="90" spans="1:5" x14ac:dyDescent="0.3">
      <c r="A90" s="1">
        <v>45968</v>
      </c>
      <c r="B90">
        <v>57391.4</v>
      </c>
      <c r="C90">
        <v>58001.35</v>
      </c>
      <c r="D90">
        <v>57157.85</v>
      </c>
      <c r="E90">
        <v>57876.800000000003</v>
      </c>
    </row>
    <row r="91" spans="1:5" x14ac:dyDescent="0.3">
      <c r="A91" s="1">
        <v>45971</v>
      </c>
      <c r="B91">
        <v>57846.2</v>
      </c>
      <c r="C91">
        <v>58097.2</v>
      </c>
      <c r="D91">
        <v>57846.2</v>
      </c>
      <c r="E91">
        <v>57937.55</v>
      </c>
    </row>
    <row r="92" spans="1:5" x14ac:dyDescent="0.3">
      <c r="A92" s="1">
        <v>45972</v>
      </c>
      <c r="B92">
        <v>57962.3</v>
      </c>
      <c r="C92">
        <v>58187.35</v>
      </c>
      <c r="D92">
        <v>57594.25</v>
      </c>
      <c r="E92">
        <v>58138.15</v>
      </c>
    </row>
    <row r="93" spans="1:5" x14ac:dyDescent="0.3">
      <c r="A93" s="1">
        <v>45973</v>
      </c>
      <c r="B93">
        <v>58505.35</v>
      </c>
      <c r="C93">
        <v>58507.7</v>
      </c>
      <c r="D93">
        <v>58171.85</v>
      </c>
      <c r="E93">
        <v>58274.65</v>
      </c>
    </row>
    <row r="94" spans="1:5" x14ac:dyDescent="0.3">
      <c r="A94" s="1">
        <v>45974</v>
      </c>
      <c r="B94">
        <v>58158.75</v>
      </c>
      <c r="C94">
        <v>58615.95</v>
      </c>
      <c r="D94">
        <v>58127.1</v>
      </c>
      <c r="E94">
        <v>58381.95</v>
      </c>
    </row>
    <row r="95" spans="1:5" x14ac:dyDescent="0.3">
      <c r="A95" s="1">
        <v>45975</v>
      </c>
      <c r="B95">
        <v>58050</v>
      </c>
      <c r="C95">
        <v>58590.15</v>
      </c>
      <c r="D95">
        <v>58050</v>
      </c>
      <c r="E95">
        <v>58517.55</v>
      </c>
    </row>
    <row r="96" spans="1:5" x14ac:dyDescent="0.3">
      <c r="A96" s="1">
        <v>45978</v>
      </c>
      <c r="B96">
        <v>58696.3</v>
      </c>
      <c r="C96">
        <v>59001.55</v>
      </c>
      <c r="D96">
        <v>58605.3</v>
      </c>
      <c r="E96">
        <v>58962.7</v>
      </c>
    </row>
    <row r="97" spans="1:5" x14ac:dyDescent="0.3">
      <c r="A97" s="1">
        <v>45979</v>
      </c>
      <c r="B97">
        <v>58990.5</v>
      </c>
      <c r="C97">
        <v>59103.65</v>
      </c>
      <c r="D97">
        <v>58798.9</v>
      </c>
      <c r="E97">
        <v>58899.25</v>
      </c>
    </row>
    <row r="98" spans="1:5" x14ac:dyDescent="0.3">
      <c r="A98" s="1">
        <v>45980</v>
      </c>
      <c r="B98">
        <v>58908.15</v>
      </c>
      <c r="C98">
        <v>59264.25</v>
      </c>
      <c r="D98">
        <v>58688.55</v>
      </c>
      <c r="E98">
        <v>59216.05</v>
      </c>
    </row>
    <row r="99" spans="1:5" x14ac:dyDescent="0.3">
      <c r="A99" s="1">
        <v>45981</v>
      </c>
      <c r="B99">
        <v>59308.2</v>
      </c>
      <c r="C99">
        <v>59440.1</v>
      </c>
      <c r="D99">
        <v>59125.25</v>
      </c>
      <c r="E99">
        <v>59347.7</v>
      </c>
    </row>
    <row r="100" spans="1:5" x14ac:dyDescent="0.3">
      <c r="A100" s="1">
        <v>45982</v>
      </c>
      <c r="B100">
        <v>59116.7</v>
      </c>
      <c r="C100">
        <v>59232.15</v>
      </c>
      <c r="D100">
        <v>58823.65</v>
      </c>
      <c r="E100">
        <v>58867.7</v>
      </c>
    </row>
    <row r="101" spans="1:5" x14ac:dyDescent="0.3">
      <c r="A101" s="1">
        <v>45985</v>
      </c>
      <c r="B101">
        <v>58996.9</v>
      </c>
      <c r="C101">
        <v>59309.9</v>
      </c>
      <c r="D101">
        <v>58649.5</v>
      </c>
      <c r="E101">
        <v>58835.35</v>
      </c>
    </row>
    <row r="102" spans="1:5" x14ac:dyDescent="0.3">
      <c r="A102" s="1">
        <v>45986</v>
      </c>
      <c r="B102">
        <v>58925.65</v>
      </c>
      <c r="C102">
        <v>59166.15</v>
      </c>
      <c r="D102">
        <v>58746.2</v>
      </c>
      <c r="E102">
        <v>58820.3</v>
      </c>
    </row>
    <row r="103" spans="1:5" x14ac:dyDescent="0.3">
      <c r="A103" s="1">
        <v>45987</v>
      </c>
      <c r="B103">
        <v>58783.05</v>
      </c>
      <c r="C103">
        <v>59554.95</v>
      </c>
      <c r="D103">
        <v>58783.05</v>
      </c>
      <c r="E103">
        <v>59528.05</v>
      </c>
    </row>
    <row r="104" spans="1:5" x14ac:dyDescent="0.3">
      <c r="A104" s="1">
        <v>45988</v>
      </c>
      <c r="B104">
        <v>59605.3</v>
      </c>
      <c r="C104">
        <v>59866.6</v>
      </c>
      <c r="D104">
        <v>59523</v>
      </c>
      <c r="E104">
        <v>59737.3</v>
      </c>
    </row>
    <row r="105" spans="1:5" x14ac:dyDescent="0.3">
      <c r="A105" s="1">
        <v>45989</v>
      </c>
      <c r="B105">
        <v>59758.7</v>
      </c>
      <c r="C105">
        <v>59897.5</v>
      </c>
      <c r="D105">
        <v>59598.95</v>
      </c>
      <c r="E105">
        <v>59752.7</v>
      </c>
    </row>
    <row r="106" spans="1:5" x14ac:dyDescent="0.3">
      <c r="A106" s="1">
        <v>45992</v>
      </c>
      <c r="B106">
        <v>60102.05</v>
      </c>
      <c r="C106">
        <v>60114.3</v>
      </c>
      <c r="D106">
        <v>59527.6</v>
      </c>
      <c r="E106">
        <v>59681.35</v>
      </c>
    </row>
    <row r="107" spans="1:5" x14ac:dyDescent="0.3">
      <c r="A107" s="1">
        <v>45993</v>
      </c>
      <c r="B107">
        <v>59354.2</v>
      </c>
      <c r="C107">
        <v>59656.55</v>
      </c>
      <c r="D107">
        <v>59251.95</v>
      </c>
      <c r="E107">
        <v>59273.8</v>
      </c>
    </row>
    <row r="108" spans="1:5" x14ac:dyDescent="0.3">
      <c r="A108" s="1">
        <v>45994</v>
      </c>
      <c r="B108">
        <v>59158.7</v>
      </c>
      <c r="C108">
        <v>59414.9</v>
      </c>
      <c r="D108">
        <v>58925.7</v>
      </c>
      <c r="E108">
        <v>59348.25</v>
      </c>
    </row>
    <row r="109" spans="1:5" x14ac:dyDescent="0.3">
      <c r="A109" s="1">
        <v>45995</v>
      </c>
      <c r="B109">
        <v>59287.1</v>
      </c>
      <c r="C109">
        <v>59548.7</v>
      </c>
      <c r="D109">
        <v>59062.15</v>
      </c>
      <c r="E109">
        <v>59288.7</v>
      </c>
    </row>
    <row r="110" spans="1:5" x14ac:dyDescent="0.3">
      <c r="A110" s="1">
        <v>45996</v>
      </c>
      <c r="B110">
        <v>59133.2</v>
      </c>
      <c r="C110">
        <v>59806.6</v>
      </c>
      <c r="D110">
        <v>59106.55</v>
      </c>
      <c r="E110">
        <v>59777.2</v>
      </c>
    </row>
    <row r="111" spans="1:5" x14ac:dyDescent="0.3">
      <c r="A111" s="1">
        <v>45999</v>
      </c>
      <c r="B111">
        <v>59672.05</v>
      </c>
      <c r="C111">
        <v>59713.15</v>
      </c>
      <c r="D111">
        <v>59030.6</v>
      </c>
      <c r="E111">
        <v>59238.55</v>
      </c>
    </row>
    <row r="112" spans="1:5" x14ac:dyDescent="0.3">
      <c r="A112" s="1">
        <v>46000</v>
      </c>
      <c r="B112">
        <v>58918.85</v>
      </c>
      <c r="C112">
        <v>59358.25</v>
      </c>
      <c r="D112">
        <v>58878.45</v>
      </c>
      <c r="E112">
        <v>59222.35</v>
      </c>
    </row>
    <row r="113" spans="1:5" x14ac:dyDescent="0.3">
      <c r="A113" s="1">
        <v>46001</v>
      </c>
      <c r="B113">
        <v>59281.55</v>
      </c>
      <c r="C113">
        <v>59440.9</v>
      </c>
      <c r="D113">
        <v>58853.9</v>
      </c>
      <c r="E113">
        <v>58960.4</v>
      </c>
    </row>
    <row r="114" spans="1:5" x14ac:dyDescent="0.3">
      <c r="A114" s="1">
        <v>46002</v>
      </c>
      <c r="B114">
        <v>58966.2</v>
      </c>
      <c r="C114">
        <v>59423.35</v>
      </c>
      <c r="D114">
        <v>58799.9</v>
      </c>
      <c r="E114">
        <v>59209.85</v>
      </c>
    </row>
    <row r="115" spans="1:5" x14ac:dyDescent="0.3">
      <c r="A115" s="1">
        <v>46003</v>
      </c>
      <c r="B115">
        <v>59401.5</v>
      </c>
      <c r="C115">
        <v>59545.7</v>
      </c>
      <c r="D115">
        <v>59224.85</v>
      </c>
      <c r="E115">
        <v>59389.95</v>
      </c>
    </row>
    <row r="116" spans="1:5" x14ac:dyDescent="0.3">
      <c r="A116" s="1">
        <v>46006</v>
      </c>
      <c r="B116">
        <v>59053.7</v>
      </c>
      <c r="C116">
        <v>59533</v>
      </c>
      <c r="D116">
        <v>59044.65</v>
      </c>
      <c r="E116">
        <v>59461.8</v>
      </c>
    </row>
    <row r="117" spans="1:5" x14ac:dyDescent="0.3">
      <c r="A117" s="1">
        <v>46007</v>
      </c>
      <c r="B117">
        <v>59288.75</v>
      </c>
      <c r="C117">
        <v>59335.25</v>
      </c>
      <c r="D117">
        <v>58966.35</v>
      </c>
      <c r="E117">
        <v>59034.6</v>
      </c>
    </row>
    <row r="118" spans="1:5" x14ac:dyDescent="0.3">
      <c r="A118" s="1">
        <v>46008</v>
      </c>
      <c r="B118">
        <v>59072.800000000003</v>
      </c>
      <c r="C118">
        <v>59127.199999999997</v>
      </c>
      <c r="D118">
        <v>58801.4</v>
      </c>
      <c r="E118">
        <v>58926.75</v>
      </c>
    </row>
    <row r="119" spans="1:5" x14ac:dyDescent="0.3">
      <c r="A119" s="1">
        <v>46009</v>
      </c>
      <c r="B119">
        <v>58712.7</v>
      </c>
      <c r="C119">
        <v>59211</v>
      </c>
      <c r="D119">
        <v>58712.7</v>
      </c>
      <c r="E119">
        <v>58912.85</v>
      </c>
    </row>
    <row r="120" spans="1:5" x14ac:dyDescent="0.3">
      <c r="A120" s="1">
        <v>46010</v>
      </c>
      <c r="B120">
        <v>59047.4</v>
      </c>
      <c r="C120">
        <v>59140.55</v>
      </c>
      <c r="D120">
        <v>58897.5</v>
      </c>
      <c r="E120">
        <v>59069.2</v>
      </c>
    </row>
    <row r="121" spans="1:5" x14ac:dyDescent="0.3">
      <c r="A121" s="1">
        <v>46013</v>
      </c>
      <c r="B121">
        <v>59224.75</v>
      </c>
      <c r="C121">
        <v>59371.199999999997</v>
      </c>
      <c r="D121">
        <v>59155.5</v>
      </c>
      <c r="E121">
        <v>59304</v>
      </c>
    </row>
    <row r="122" spans="1:5" x14ac:dyDescent="0.3">
      <c r="A122" s="1">
        <v>46014</v>
      </c>
      <c r="B122">
        <v>59334.35</v>
      </c>
      <c r="C122">
        <v>59402.35</v>
      </c>
      <c r="D122">
        <v>59216.75</v>
      </c>
      <c r="E122">
        <v>59299.55</v>
      </c>
    </row>
    <row r="123" spans="1:5" x14ac:dyDescent="0.3">
      <c r="A123" s="1">
        <v>46015</v>
      </c>
      <c r="B123">
        <v>59322.95</v>
      </c>
      <c r="C123">
        <v>59478.15</v>
      </c>
      <c r="D123">
        <v>59118.25</v>
      </c>
      <c r="E123">
        <v>59183.6</v>
      </c>
    </row>
    <row r="124" spans="1:5" x14ac:dyDescent="0.3">
      <c r="A124" s="1">
        <v>46017</v>
      </c>
      <c r="B124">
        <v>59092.85</v>
      </c>
      <c r="C124">
        <v>59180.65</v>
      </c>
      <c r="D124">
        <v>58947.05</v>
      </c>
      <c r="E124">
        <v>59011.35</v>
      </c>
    </row>
    <row r="125" spans="1:5" x14ac:dyDescent="0.3">
      <c r="A125" s="1">
        <v>46020</v>
      </c>
      <c r="B125">
        <v>59007.05</v>
      </c>
      <c r="C125">
        <v>59140.4</v>
      </c>
      <c r="D125">
        <v>58809.55</v>
      </c>
      <c r="E125">
        <v>58932.35</v>
      </c>
    </row>
    <row r="126" spans="1:5" x14ac:dyDescent="0.3">
      <c r="A126" s="1">
        <v>46021</v>
      </c>
      <c r="B126">
        <v>58885.95</v>
      </c>
      <c r="C126">
        <v>59272.7</v>
      </c>
      <c r="D126">
        <v>58737.599999999999</v>
      </c>
      <c r="E126">
        <v>59171.25</v>
      </c>
    </row>
    <row r="127" spans="1:5" x14ac:dyDescent="0.3">
      <c r="A127" s="1">
        <v>46022</v>
      </c>
      <c r="B127">
        <v>59194.6</v>
      </c>
      <c r="C127">
        <v>59766.2</v>
      </c>
      <c r="D127">
        <v>59187.1</v>
      </c>
      <c r="E127">
        <v>59581.85</v>
      </c>
    </row>
    <row r="128" spans="1:5" x14ac:dyDescent="0.3">
      <c r="A128" s="1">
        <v>46023</v>
      </c>
      <c r="B128">
        <v>59674.8</v>
      </c>
      <c r="C128">
        <v>59743.199999999997</v>
      </c>
      <c r="D128">
        <v>59569.65</v>
      </c>
      <c r="E128">
        <v>59711.55</v>
      </c>
    </row>
    <row r="129" spans="1:5" x14ac:dyDescent="0.3">
      <c r="A129" s="1">
        <v>46024</v>
      </c>
      <c r="B129">
        <v>59757.4</v>
      </c>
      <c r="C129">
        <v>60203.75</v>
      </c>
      <c r="D129">
        <v>59738.25</v>
      </c>
      <c r="E129">
        <v>60150.95</v>
      </c>
    </row>
    <row r="130" spans="1:5" x14ac:dyDescent="0.3">
      <c r="A130" s="1">
        <v>46027</v>
      </c>
      <c r="B130">
        <v>60360.4</v>
      </c>
      <c r="C130">
        <v>60437.35</v>
      </c>
      <c r="D130">
        <v>59859.8</v>
      </c>
      <c r="E130">
        <v>60044.2</v>
      </c>
    </row>
    <row r="131" spans="1:5" x14ac:dyDescent="0.3">
      <c r="A131" s="1">
        <v>46028</v>
      </c>
      <c r="B131">
        <v>59957.8</v>
      </c>
      <c r="C131">
        <v>60305</v>
      </c>
      <c r="D131">
        <v>59844.800000000003</v>
      </c>
      <c r="E131">
        <v>60118.400000000001</v>
      </c>
    </row>
    <row r="132" spans="1:5" x14ac:dyDescent="0.3">
      <c r="A132" s="1">
        <v>46029</v>
      </c>
      <c r="B132">
        <v>60039.7</v>
      </c>
      <c r="C132">
        <v>60065.4</v>
      </c>
      <c r="D132">
        <v>59760.65</v>
      </c>
      <c r="E132">
        <v>59990.85</v>
      </c>
    </row>
    <row r="133" spans="1:5" x14ac:dyDescent="0.3">
      <c r="A133" s="1">
        <v>46030</v>
      </c>
      <c r="B133">
        <v>59893.15</v>
      </c>
      <c r="C133">
        <v>60112.85</v>
      </c>
      <c r="D133">
        <v>59564.800000000003</v>
      </c>
      <c r="E133">
        <v>59686.5</v>
      </c>
    </row>
    <row r="134" spans="1:5" x14ac:dyDescent="0.3">
      <c r="A134" s="1">
        <v>46031</v>
      </c>
      <c r="B134">
        <v>59558.15</v>
      </c>
      <c r="C134">
        <v>59739.65</v>
      </c>
      <c r="D134">
        <v>59154.2</v>
      </c>
      <c r="E134">
        <v>59251.55</v>
      </c>
    </row>
    <row r="135" spans="1:5" x14ac:dyDescent="0.3">
      <c r="A135" s="1">
        <v>46034</v>
      </c>
      <c r="B135">
        <v>59217.25</v>
      </c>
      <c r="C135">
        <v>59541.1</v>
      </c>
      <c r="D135">
        <v>58864.2</v>
      </c>
      <c r="E135">
        <v>59450.5</v>
      </c>
    </row>
    <row r="136" spans="1:5" x14ac:dyDescent="0.3">
      <c r="A136" s="1">
        <v>46035</v>
      </c>
      <c r="B136">
        <v>59767.55</v>
      </c>
      <c r="C136">
        <v>59767.55</v>
      </c>
      <c r="D136">
        <v>59312.05</v>
      </c>
      <c r="E136">
        <v>59578.8</v>
      </c>
    </row>
    <row r="137" spans="1:5" x14ac:dyDescent="0.3">
      <c r="A137" s="1">
        <v>46036</v>
      </c>
      <c r="B137">
        <v>59330.35</v>
      </c>
      <c r="C137">
        <v>59796.65</v>
      </c>
      <c r="D137">
        <v>59324.2</v>
      </c>
      <c r="E137">
        <v>59580.15</v>
      </c>
    </row>
    <row r="138" spans="1:5" x14ac:dyDescent="0.3">
      <c r="A138" s="1">
        <v>46038</v>
      </c>
      <c r="B138">
        <v>59590.35</v>
      </c>
      <c r="C138">
        <v>60235.15</v>
      </c>
      <c r="D138">
        <v>59510.5</v>
      </c>
      <c r="E138">
        <v>60095.15</v>
      </c>
    </row>
    <row r="139" spans="1:5" x14ac:dyDescent="0.3">
      <c r="A139" s="1">
        <v>46041</v>
      </c>
      <c r="B139">
        <v>60093.3</v>
      </c>
      <c r="C139">
        <v>60107.5</v>
      </c>
      <c r="D139">
        <v>59594.6</v>
      </c>
      <c r="E139">
        <v>59891.35</v>
      </c>
    </row>
    <row r="140" spans="1:5" x14ac:dyDescent="0.3">
      <c r="A140" s="1">
        <v>46042</v>
      </c>
      <c r="B140">
        <v>59851.4</v>
      </c>
      <c r="C140">
        <v>59993.5</v>
      </c>
      <c r="D140">
        <v>59283.95</v>
      </c>
      <c r="E140">
        <v>59404.2</v>
      </c>
    </row>
    <row r="141" spans="1:5" x14ac:dyDescent="0.3">
      <c r="A141" s="1">
        <v>46043</v>
      </c>
      <c r="B141">
        <v>59142</v>
      </c>
      <c r="C141">
        <v>59447.35</v>
      </c>
      <c r="D141">
        <v>58278.6</v>
      </c>
      <c r="E141">
        <v>58800.3</v>
      </c>
    </row>
    <row r="142" spans="1:5" x14ac:dyDescent="0.3">
      <c r="A142" s="1">
        <v>46044</v>
      </c>
      <c r="B142">
        <v>59194.25</v>
      </c>
      <c r="C142">
        <v>59573.1</v>
      </c>
      <c r="D142">
        <v>58823.05</v>
      </c>
      <c r="E142">
        <v>59200.1</v>
      </c>
    </row>
    <row r="143" spans="1:5" x14ac:dyDescent="0.3">
      <c r="A143" s="1">
        <v>46045</v>
      </c>
      <c r="B143">
        <v>59305.15</v>
      </c>
      <c r="C143">
        <v>59400.15</v>
      </c>
      <c r="D143">
        <v>58346.25</v>
      </c>
      <c r="E143">
        <v>58473.1</v>
      </c>
    </row>
    <row r="144" spans="1:5" x14ac:dyDescent="0.3">
      <c r="A144" s="1">
        <v>46049</v>
      </c>
      <c r="B144">
        <v>58366.05</v>
      </c>
      <c r="C144">
        <v>59436.800000000003</v>
      </c>
      <c r="D144">
        <v>58121.599999999999</v>
      </c>
      <c r="E144">
        <v>59205.45</v>
      </c>
    </row>
    <row r="145" spans="1:5" x14ac:dyDescent="0.3">
      <c r="A145" s="1">
        <v>46050</v>
      </c>
      <c r="B145">
        <v>59575.65</v>
      </c>
      <c r="C145">
        <v>59699.9</v>
      </c>
      <c r="D145">
        <v>59240.1</v>
      </c>
      <c r="E145">
        <v>59598.8</v>
      </c>
    </row>
    <row r="146" spans="1:5" x14ac:dyDescent="0.3">
      <c r="A146" s="1">
        <v>46051</v>
      </c>
      <c r="B146">
        <v>59416.25</v>
      </c>
      <c r="C146">
        <v>60060.7</v>
      </c>
      <c r="D146">
        <v>59339</v>
      </c>
      <c r="E146">
        <v>59957.85</v>
      </c>
    </row>
    <row r="147" spans="1:5" x14ac:dyDescent="0.3">
      <c r="A147" s="1">
        <v>46052</v>
      </c>
      <c r="B147">
        <v>59542.25</v>
      </c>
      <c r="C147">
        <v>59906.9</v>
      </c>
      <c r="D147">
        <v>59501.8</v>
      </c>
      <c r="E147">
        <v>59610.45</v>
      </c>
    </row>
    <row r="148" spans="1:5" x14ac:dyDescent="0.3">
      <c r="A148" s="1">
        <v>46054</v>
      </c>
      <c r="B148">
        <v>59607.65</v>
      </c>
      <c r="C148">
        <v>59865.7</v>
      </c>
      <c r="D148">
        <v>57783.199999999997</v>
      </c>
      <c r="E148">
        <v>58417.2</v>
      </c>
    </row>
    <row r="149" spans="1:5" x14ac:dyDescent="0.3">
      <c r="A149" s="1">
        <v>46055</v>
      </c>
      <c r="B149">
        <v>58239.3</v>
      </c>
      <c r="C149">
        <v>58687.05</v>
      </c>
      <c r="D149">
        <v>57829.85</v>
      </c>
      <c r="E149">
        <v>58619</v>
      </c>
    </row>
    <row r="150" spans="1:5" x14ac:dyDescent="0.3">
      <c r="A150" s="1">
        <v>46056</v>
      </c>
      <c r="B150">
        <v>61411.199999999997</v>
      </c>
      <c r="C150">
        <v>61764.85</v>
      </c>
      <c r="D150">
        <v>59793.2</v>
      </c>
      <c r="E150">
        <v>60041.3</v>
      </c>
    </row>
    <row r="151" spans="1:5" x14ac:dyDescent="0.3">
      <c r="A151" s="1">
        <v>46057</v>
      </c>
      <c r="B151">
        <v>60163.35</v>
      </c>
      <c r="C151">
        <v>60389.4</v>
      </c>
      <c r="D151">
        <v>59891.75</v>
      </c>
      <c r="E151">
        <v>60238.15</v>
      </c>
    </row>
    <row r="152" spans="1:5" x14ac:dyDescent="0.3">
      <c r="A152" s="1">
        <v>46058</v>
      </c>
      <c r="B152">
        <v>60315.35</v>
      </c>
      <c r="C152">
        <v>60328.3</v>
      </c>
      <c r="D152">
        <v>59881.05</v>
      </c>
      <c r="E152">
        <v>60063.65</v>
      </c>
    </row>
    <row r="153" spans="1:5" x14ac:dyDescent="0.3">
      <c r="A153" s="1">
        <v>46059</v>
      </c>
      <c r="B153">
        <v>59967.1</v>
      </c>
      <c r="C153">
        <v>60149.9</v>
      </c>
      <c r="D153">
        <v>59644.55</v>
      </c>
      <c r="E153">
        <v>60120.55</v>
      </c>
    </row>
    <row r="154" spans="1:5" x14ac:dyDescent="0.3">
      <c r="A154" s="1">
        <v>46062</v>
      </c>
      <c r="B154">
        <v>60805.2</v>
      </c>
      <c r="C154">
        <v>60876.2</v>
      </c>
      <c r="D154">
        <v>60495.7</v>
      </c>
      <c r="E154">
        <v>60669.35</v>
      </c>
    </row>
    <row r="155" spans="1:5" x14ac:dyDescent="0.3">
      <c r="A155" s="1">
        <v>46063</v>
      </c>
      <c r="B155">
        <v>60740.800000000003</v>
      </c>
      <c r="C155">
        <v>60797.55</v>
      </c>
      <c r="D155">
        <v>60531.55</v>
      </c>
      <c r="E155">
        <v>60626.400000000001</v>
      </c>
    </row>
    <row r="156" spans="1:5" x14ac:dyDescent="0.3">
      <c r="A156" s="1">
        <v>46064</v>
      </c>
      <c r="B156">
        <v>60670.25</v>
      </c>
      <c r="C156">
        <v>60779.95</v>
      </c>
      <c r="D156">
        <v>60444.65</v>
      </c>
      <c r="E156">
        <v>60745.35</v>
      </c>
    </row>
    <row r="157" spans="1:5" x14ac:dyDescent="0.3">
      <c r="A157" s="1">
        <v>46065</v>
      </c>
      <c r="B157">
        <v>60786.15</v>
      </c>
      <c r="C157">
        <v>60864.4</v>
      </c>
      <c r="D157">
        <v>60597.65</v>
      </c>
      <c r="E157">
        <v>60739.75</v>
      </c>
    </row>
    <row r="158" spans="1:5" x14ac:dyDescent="0.3">
      <c r="A158" s="1">
        <v>46066</v>
      </c>
      <c r="B158">
        <v>60504.4</v>
      </c>
      <c r="C158">
        <v>60621.9</v>
      </c>
      <c r="D158">
        <v>60073.55</v>
      </c>
      <c r="E158">
        <v>60186.65</v>
      </c>
    </row>
    <row r="159" spans="1:5" x14ac:dyDescent="0.3">
      <c r="A159" s="1">
        <v>46069</v>
      </c>
      <c r="B159">
        <v>59947.8</v>
      </c>
      <c r="C159">
        <v>61011.3</v>
      </c>
      <c r="D159">
        <v>59861.1</v>
      </c>
      <c r="E159">
        <v>60949.1</v>
      </c>
    </row>
    <row r="160" spans="1:5" x14ac:dyDescent="0.3">
      <c r="A160" s="1">
        <v>46070</v>
      </c>
      <c r="B160">
        <v>60821.15</v>
      </c>
      <c r="C160">
        <v>61241.599999999999</v>
      </c>
      <c r="D160">
        <v>60560</v>
      </c>
      <c r="E160">
        <v>61174</v>
      </c>
    </row>
    <row r="161" spans="1:5" x14ac:dyDescent="0.3">
      <c r="A161" s="1">
        <v>46071</v>
      </c>
      <c r="B161">
        <v>61255.35</v>
      </c>
      <c r="C161">
        <v>61596.85</v>
      </c>
      <c r="D161">
        <v>61100.9</v>
      </c>
      <c r="E161">
        <v>61550.8</v>
      </c>
    </row>
  </sheetData>
  <sortState xmlns:xlrd2="http://schemas.microsoft.com/office/spreadsheetml/2017/richdata2" ref="A2:E161">
    <sortCondition ref="A2:A1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CE03-A027-4172-8D0B-D09ABBD4BDEA}">
  <dimension ref="A1:Q161"/>
  <sheetViews>
    <sheetView workbookViewId="0">
      <selection activeCell="N2" sqref="N2"/>
    </sheetView>
  </sheetViews>
  <sheetFormatPr defaultRowHeight="14.4" x14ac:dyDescent="0.3"/>
  <cols>
    <col min="1" max="1" width="10.33203125" style="1" bestFit="1" customWidth="1"/>
    <col min="2" max="2" width="9" bestFit="1" customWidth="1"/>
    <col min="3" max="5" width="12.6640625" bestFit="1" customWidth="1"/>
    <col min="6" max="6" width="19.5546875" bestFit="1" customWidth="1"/>
    <col min="7" max="7" width="11" bestFit="1" customWidth="1"/>
    <col min="8" max="8" width="10" bestFit="1" customWidth="1"/>
    <col min="9" max="9" width="13.21875" bestFit="1" customWidth="1"/>
    <col min="10" max="10" width="12.6640625" bestFit="1" customWidth="1"/>
    <col min="12" max="13" width="10.33203125" bestFit="1" customWidth="1"/>
    <col min="14" max="14" width="9" bestFit="1" customWidth="1"/>
    <col min="16" max="16" width="14" bestFit="1" customWidth="1"/>
    <col min="17" max="17" width="10.44140625" customWidth="1"/>
  </cols>
  <sheetData>
    <row r="1" spans="1:17" ht="15.6" thickTop="1" thickBot="1" x14ac:dyDescent="0.35">
      <c r="A1" s="12" t="s">
        <v>0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10</v>
      </c>
      <c r="I1" s="13" t="s">
        <v>11</v>
      </c>
      <c r="J1" s="13" t="s">
        <v>12</v>
      </c>
      <c r="K1" s="15"/>
      <c r="L1" s="13" t="s">
        <v>23</v>
      </c>
      <c r="M1" s="14" t="s">
        <v>13</v>
      </c>
      <c r="N1" s="13" t="s">
        <v>22</v>
      </c>
    </row>
    <row r="2" spans="1:17" ht="15" thickTop="1" x14ac:dyDescent="0.3">
      <c r="A2" s="1">
        <v>45839</v>
      </c>
      <c r="B2">
        <v>57459.45</v>
      </c>
      <c r="C2">
        <v>0</v>
      </c>
      <c r="D2">
        <f>LN(B3/B2)</f>
        <v>-8.0422489809069703E-3</v>
      </c>
      <c r="E2">
        <f>C2</f>
        <v>0</v>
      </c>
      <c r="I2">
        <f>MAX($B$2:B2)</f>
        <v>57459.45</v>
      </c>
      <c r="J2">
        <f>(B2-I2)/I2</f>
        <v>0</v>
      </c>
      <c r="L2" s="1">
        <v>45839</v>
      </c>
      <c r="M2">
        <f>_xlfn.XLOOKUP(L2,A:A,B:B,"")</f>
        <v>57459.45</v>
      </c>
      <c r="N2">
        <f>IF(M2="",N1,M2)</f>
        <v>57459.45</v>
      </c>
      <c r="P2" t="s">
        <v>14</v>
      </c>
      <c r="Q2" t="s">
        <v>19</v>
      </c>
    </row>
    <row r="3" spans="1:17" x14ac:dyDescent="0.3">
      <c r="A3" s="1">
        <v>45840</v>
      </c>
      <c r="B3">
        <v>56999.199999999997</v>
      </c>
      <c r="C3">
        <f>(B3-B2)/B2</f>
        <v>-8.0099966150041467E-3</v>
      </c>
      <c r="D3">
        <f t="shared" ref="D3:D66" si="0">LN(B4/B3)</f>
        <v>-3.6426423173318619E-3</v>
      </c>
      <c r="E3">
        <f t="shared" ref="E3:E66" si="1">C3</f>
        <v>-8.0099966150041467E-3</v>
      </c>
      <c r="I3">
        <f>MAX($B$2:B3)</f>
        <v>57459.45</v>
      </c>
      <c r="J3">
        <f t="shared" ref="J3:J66" si="2">(B3-I3)/I3</f>
        <v>-8.0099966150041467E-3</v>
      </c>
      <c r="L3" s="1">
        <v>45840</v>
      </c>
      <c r="M3">
        <f t="shared" ref="M3:M66" si="3">_xlfn.XLOOKUP(L3,A:A,B:B,"")</f>
        <v>56999.199999999997</v>
      </c>
      <c r="N3">
        <f t="shared" ref="N3:N66" si="4">IF(M3="",N2,M3)</f>
        <v>56999.199999999997</v>
      </c>
      <c r="P3" t="s">
        <v>15</v>
      </c>
      <c r="Q3">
        <f>AVERAGE(C:C)</f>
        <v>4.4829901381061827E-4</v>
      </c>
    </row>
    <row r="4" spans="1:17" x14ac:dyDescent="0.3">
      <c r="A4" s="1">
        <v>45841</v>
      </c>
      <c r="B4">
        <v>56791.95</v>
      </c>
      <c r="C4">
        <f>(B4-B3)/B3</f>
        <v>-3.6360159440834258E-3</v>
      </c>
      <c r="D4">
        <f t="shared" si="0"/>
        <v>4.2161700811848557E-3</v>
      </c>
      <c r="E4">
        <f t="shared" si="1"/>
        <v>-3.6360159440834258E-3</v>
      </c>
      <c r="I4">
        <f>MAX($B$2:B4)</f>
        <v>57459.45</v>
      </c>
      <c r="J4">
        <f t="shared" si="2"/>
        <v>-1.1616888083683363E-2</v>
      </c>
      <c r="L4" s="1">
        <v>45841</v>
      </c>
      <c r="M4">
        <f t="shared" si="3"/>
        <v>56791.95</v>
      </c>
      <c r="N4">
        <f t="shared" si="4"/>
        <v>56791.95</v>
      </c>
      <c r="P4" t="s">
        <v>16</v>
      </c>
      <c r="Q4">
        <f>_xlfn.STDEV.P(C:C)</f>
        <v>6.0529111792061831E-3</v>
      </c>
    </row>
    <row r="5" spans="1:17" x14ac:dyDescent="0.3">
      <c r="A5" s="1">
        <v>45842</v>
      </c>
      <c r="B5">
        <v>57031.9</v>
      </c>
      <c r="C5">
        <f t="shared" ref="C5:C68" si="5">(B5-B4)/B4</f>
        <v>4.2250706306088169E-3</v>
      </c>
      <c r="D5">
        <f t="shared" si="0"/>
        <v>-1.4511180276744755E-3</v>
      </c>
      <c r="E5">
        <f t="shared" si="1"/>
        <v>4.2250706306088169E-3</v>
      </c>
      <c r="I5">
        <f>MAX($B$2:B5)</f>
        <v>57459.45</v>
      </c>
      <c r="J5">
        <f t="shared" si="2"/>
        <v>-7.4408996257359873E-3</v>
      </c>
      <c r="L5" s="1">
        <v>45842</v>
      </c>
      <c r="M5">
        <f t="shared" si="3"/>
        <v>57031.9</v>
      </c>
      <c r="N5">
        <f t="shared" si="4"/>
        <v>57031.9</v>
      </c>
      <c r="P5" t="s">
        <v>17</v>
      </c>
      <c r="Q5">
        <f>MIN(J:J)</f>
        <v>-6.6199728678224309E-2</v>
      </c>
    </row>
    <row r="6" spans="1:17" x14ac:dyDescent="0.3">
      <c r="A6" s="1">
        <v>45845</v>
      </c>
      <c r="B6">
        <v>56949.2</v>
      </c>
      <c r="C6">
        <f t="shared" si="5"/>
        <v>-1.4500656650051E-3</v>
      </c>
      <c r="D6">
        <f t="shared" si="0"/>
        <v>5.3780376635944472E-3</v>
      </c>
      <c r="E6">
        <f t="shared" si="1"/>
        <v>-1.4500656650051E-3</v>
      </c>
      <c r="I6">
        <f>MAX($B$2:B6)</f>
        <v>57459.45</v>
      </c>
      <c r="J6">
        <f t="shared" si="2"/>
        <v>-8.8801754976770581E-3</v>
      </c>
      <c r="L6" s="1">
        <v>45843</v>
      </c>
      <c r="M6" t="str">
        <f t="shared" si="3"/>
        <v/>
      </c>
      <c r="N6">
        <f t="shared" si="4"/>
        <v>57031.9</v>
      </c>
      <c r="P6" t="s">
        <v>18</v>
      </c>
      <c r="Q6">
        <f>(B150/B2)-1</f>
        <v>4.4933426964581136E-2</v>
      </c>
    </row>
    <row r="7" spans="1:17" x14ac:dyDescent="0.3">
      <c r="A7" s="1">
        <v>45846</v>
      </c>
      <c r="B7">
        <v>57256.3</v>
      </c>
      <c r="C7">
        <f t="shared" si="5"/>
        <v>5.3925252681338073E-3</v>
      </c>
      <c r="D7">
        <f t="shared" si="0"/>
        <v>-7.4692160402922573E-4</v>
      </c>
      <c r="E7">
        <f t="shared" si="1"/>
        <v>5.3925252681338073E-3</v>
      </c>
      <c r="I7">
        <f>MAX($B$2:B7)</f>
        <v>57459.45</v>
      </c>
      <c r="J7">
        <f t="shared" si="2"/>
        <v>-3.5355368002999367E-3</v>
      </c>
      <c r="L7" s="1">
        <v>45844</v>
      </c>
      <c r="M7" t="str">
        <f t="shared" si="3"/>
        <v/>
      </c>
      <c r="N7">
        <f t="shared" si="4"/>
        <v>57031.9</v>
      </c>
    </row>
    <row r="8" spans="1:17" x14ac:dyDescent="0.3">
      <c r="A8" s="1">
        <v>45847</v>
      </c>
      <c r="B8">
        <v>57213.55</v>
      </c>
      <c r="C8">
        <f t="shared" si="5"/>
        <v>-7.4664272752518056E-4</v>
      </c>
      <c r="D8">
        <f t="shared" si="0"/>
        <v>-4.5117185253337614E-3</v>
      </c>
      <c r="E8">
        <f t="shared" si="1"/>
        <v>-7.4664272752518056E-4</v>
      </c>
      <c r="I8">
        <f>MAX($B$2:B8)</f>
        <v>57459.45</v>
      </c>
      <c r="J8">
        <f t="shared" si="2"/>
        <v>-4.2795397449852755E-3</v>
      </c>
      <c r="L8" s="1">
        <v>45845</v>
      </c>
      <c r="M8">
        <f t="shared" si="3"/>
        <v>56949.2</v>
      </c>
      <c r="N8">
        <f t="shared" si="4"/>
        <v>56949.2</v>
      </c>
    </row>
    <row r="9" spans="1:17" x14ac:dyDescent="0.3">
      <c r="A9" s="1">
        <v>45848</v>
      </c>
      <c r="B9">
        <v>56956</v>
      </c>
      <c r="C9">
        <f t="shared" si="5"/>
        <v>-4.5015560125180641E-3</v>
      </c>
      <c r="D9">
        <f t="shared" si="0"/>
        <v>-3.540567603312015E-3</v>
      </c>
      <c r="E9">
        <f t="shared" si="1"/>
        <v>-4.5015560125180641E-3</v>
      </c>
      <c r="I9">
        <f>MAX($B$2:B9)</f>
        <v>57459.45</v>
      </c>
      <c r="J9">
        <f t="shared" si="2"/>
        <v>-8.7618311696334907E-3</v>
      </c>
      <c r="L9" s="1">
        <v>45846</v>
      </c>
      <c r="M9">
        <f t="shared" si="3"/>
        <v>57256.3</v>
      </c>
      <c r="N9">
        <f t="shared" si="4"/>
        <v>57256.3</v>
      </c>
    </row>
    <row r="10" spans="1:17" x14ac:dyDescent="0.3">
      <c r="A10" s="1">
        <v>45849</v>
      </c>
      <c r="B10">
        <v>56754.7</v>
      </c>
      <c r="C10">
        <f t="shared" si="5"/>
        <v>-3.5343071844933442E-3</v>
      </c>
      <c r="D10">
        <f t="shared" si="0"/>
        <v>1.8763205321437282E-4</v>
      </c>
      <c r="E10">
        <f t="shared" si="1"/>
        <v>-3.5343071844933442E-3</v>
      </c>
      <c r="I10">
        <f>MAX($B$2:B10)</f>
        <v>57459.45</v>
      </c>
      <c r="J10">
        <f t="shared" si="2"/>
        <v>-1.2265171351274683E-2</v>
      </c>
      <c r="L10" s="1">
        <v>45847</v>
      </c>
      <c r="M10">
        <f t="shared" si="3"/>
        <v>57213.55</v>
      </c>
      <c r="N10">
        <f t="shared" si="4"/>
        <v>57213.55</v>
      </c>
    </row>
    <row r="11" spans="1:17" x14ac:dyDescent="0.3">
      <c r="A11" s="1">
        <v>45852</v>
      </c>
      <c r="B11">
        <v>56765.35</v>
      </c>
      <c r="C11">
        <f t="shared" si="5"/>
        <v>1.8764965720903214E-4</v>
      </c>
      <c r="D11">
        <f t="shared" si="0"/>
        <v>4.2418233275401396E-3</v>
      </c>
      <c r="E11">
        <f t="shared" si="1"/>
        <v>1.8764965720903214E-4</v>
      </c>
      <c r="I11">
        <f>MAX($B$2:B11)</f>
        <v>57459.45</v>
      </c>
      <c r="J11">
        <f t="shared" si="2"/>
        <v>-1.2079823249265327E-2</v>
      </c>
      <c r="L11" s="1">
        <v>45848</v>
      </c>
      <c r="M11">
        <f t="shared" si="3"/>
        <v>56956</v>
      </c>
      <c r="N11">
        <f t="shared" si="4"/>
        <v>56956</v>
      </c>
    </row>
    <row r="12" spans="1:17" x14ac:dyDescent="0.3">
      <c r="A12" s="1">
        <v>45853</v>
      </c>
      <c r="B12">
        <v>57006.65</v>
      </c>
      <c r="C12">
        <f t="shared" si="5"/>
        <v>4.2508325941794231E-3</v>
      </c>
      <c r="D12">
        <f t="shared" si="0"/>
        <v>2.8429911350082433E-3</v>
      </c>
      <c r="E12">
        <f t="shared" si="1"/>
        <v>4.2508325941794231E-3</v>
      </c>
      <c r="I12">
        <f>MAX($B$2:B12)</f>
        <v>57459.45</v>
      </c>
      <c r="J12">
        <f t="shared" si="2"/>
        <v>-7.8803399614858077E-3</v>
      </c>
      <c r="L12" s="1">
        <v>45849</v>
      </c>
      <c r="M12">
        <f t="shared" si="3"/>
        <v>56754.7</v>
      </c>
      <c r="N12">
        <f t="shared" si="4"/>
        <v>56754.7</v>
      </c>
    </row>
    <row r="13" spans="1:17" x14ac:dyDescent="0.3">
      <c r="A13" s="1">
        <v>45854</v>
      </c>
      <c r="B13">
        <v>57168.95</v>
      </c>
      <c r="C13">
        <f t="shared" si="5"/>
        <v>2.8470362668214259E-3</v>
      </c>
      <c r="D13">
        <f t="shared" si="0"/>
        <v>-5.9676793530598557E-3</v>
      </c>
      <c r="E13">
        <f t="shared" si="1"/>
        <v>2.8470362668214259E-3</v>
      </c>
      <c r="I13">
        <f>MAX($B$2:B13)</f>
        <v>57459.45</v>
      </c>
      <c r="J13">
        <f t="shared" si="2"/>
        <v>-5.0557393083296136E-3</v>
      </c>
      <c r="L13" s="1">
        <v>45850</v>
      </c>
      <c r="M13" t="str">
        <f t="shared" si="3"/>
        <v/>
      </c>
      <c r="N13">
        <f t="shared" si="4"/>
        <v>56754.7</v>
      </c>
    </row>
    <row r="14" spans="1:17" x14ac:dyDescent="0.3">
      <c r="A14" s="1">
        <v>45855</v>
      </c>
      <c r="B14">
        <v>56828.800000000003</v>
      </c>
      <c r="C14">
        <f t="shared" si="5"/>
        <v>-5.9499081232031407E-3</v>
      </c>
      <c r="D14">
        <f t="shared" si="0"/>
        <v>-9.6507037485555284E-3</v>
      </c>
      <c r="E14">
        <f t="shared" si="1"/>
        <v>-5.9499081232031407E-3</v>
      </c>
      <c r="I14">
        <f>MAX($B$2:B14)</f>
        <v>57459.45</v>
      </c>
      <c r="J14">
        <f t="shared" si="2"/>
        <v>-1.0975566247153326E-2</v>
      </c>
      <c r="L14" s="1">
        <v>45851</v>
      </c>
      <c r="M14" t="str">
        <f t="shared" si="3"/>
        <v/>
      </c>
      <c r="N14">
        <f t="shared" si="4"/>
        <v>56754.7</v>
      </c>
    </row>
    <row r="15" spans="1:17" x14ac:dyDescent="0.3">
      <c r="A15" s="1">
        <v>45856</v>
      </c>
      <c r="B15">
        <v>56283</v>
      </c>
      <c r="C15">
        <f t="shared" si="5"/>
        <v>-9.6042851511909961E-3</v>
      </c>
      <c r="D15">
        <f t="shared" si="0"/>
        <v>1.182944096968613E-2</v>
      </c>
      <c r="E15">
        <f t="shared" si="1"/>
        <v>-9.6042851511909961E-3</v>
      </c>
      <c r="I15">
        <f>MAX($B$2:B15)</f>
        <v>57459.45</v>
      </c>
      <c r="J15">
        <f t="shared" si="2"/>
        <v>-2.0474438930410874E-2</v>
      </c>
      <c r="L15" s="1">
        <v>45852</v>
      </c>
      <c r="M15">
        <f t="shared" si="3"/>
        <v>56765.35</v>
      </c>
      <c r="N15">
        <f t="shared" si="4"/>
        <v>56765.35</v>
      </c>
    </row>
    <row r="16" spans="1:17" x14ac:dyDescent="0.3">
      <c r="A16" s="1">
        <v>45859</v>
      </c>
      <c r="B16">
        <v>56952.75</v>
      </c>
      <c r="C16">
        <f t="shared" si="5"/>
        <v>1.189968551782954E-2</v>
      </c>
      <c r="D16">
        <f t="shared" si="0"/>
        <v>-3.4605990542028392E-3</v>
      </c>
      <c r="E16">
        <f t="shared" si="1"/>
        <v>1.189968551782954E-2</v>
      </c>
      <c r="I16">
        <f>MAX($B$2:B16)</f>
        <v>57459.45</v>
      </c>
      <c r="J16">
        <f t="shared" si="2"/>
        <v>-8.8183927970072306E-3</v>
      </c>
      <c r="L16" s="1">
        <v>45853</v>
      </c>
      <c r="M16">
        <f t="shared" si="3"/>
        <v>57006.65</v>
      </c>
      <c r="N16">
        <f t="shared" si="4"/>
        <v>57006.65</v>
      </c>
    </row>
    <row r="17" spans="1:14" x14ac:dyDescent="0.3">
      <c r="A17" s="1">
        <v>45860</v>
      </c>
      <c r="B17">
        <v>56756</v>
      </c>
      <c r="C17">
        <f t="shared" si="5"/>
        <v>-3.4546180825333283E-3</v>
      </c>
      <c r="D17">
        <f t="shared" si="0"/>
        <v>7.9751963621701675E-3</v>
      </c>
      <c r="E17">
        <f t="shared" si="1"/>
        <v>-3.4546180825333283E-3</v>
      </c>
      <c r="I17">
        <f>MAX($B$2:B17)</f>
        <v>57459.45</v>
      </c>
      <c r="J17">
        <f t="shared" si="2"/>
        <v>-1.2242546700325136E-2</v>
      </c>
      <c r="L17" s="1">
        <v>45854</v>
      </c>
      <c r="M17">
        <f t="shared" si="3"/>
        <v>57168.95</v>
      </c>
      <c r="N17">
        <f t="shared" si="4"/>
        <v>57168.95</v>
      </c>
    </row>
    <row r="18" spans="1:14" x14ac:dyDescent="0.3">
      <c r="A18" s="1">
        <v>45861</v>
      </c>
      <c r="B18">
        <v>57210.45</v>
      </c>
      <c r="C18">
        <f t="shared" si="5"/>
        <v>8.0070829515821607E-3</v>
      </c>
      <c r="D18">
        <f t="shared" si="0"/>
        <v>-2.5272051008574329E-3</v>
      </c>
      <c r="E18">
        <f t="shared" si="1"/>
        <v>8.0070829515821607E-3</v>
      </c>
      <c r="I18">
        <f>MAX($B$2:B18)</f>
        <v>57459.45</v>
      </c>
      <c r="J18">
        <f t="shared" si="2"/>
        <v>-4.3334908357110973E-3</v>
      </c>
      <c r="L18" s="1">
        <v>45855</v>
      </c>
      <c r="M18">
        <f t="shared" si="3"/>
        <v>56828.800000000003</v>
      </c>
      <c r="N18">
        <f t="shared" si="4"/>
        <v>56828.800000000003</v>
      </c>
    </row>
    <row r="19" spans="1:14" x14ac:dyDescent="0.3">
      <c r="A19" s="1">
        <v>45862</v>
      </c>
      <c r="B19">
        <v>57066.05</v>
      </c>
      <c r="C19">
        <f t="shared" si="5"/>
        <v>-2.5240144064588581E-3</v>
      </c>
      <c r="D19">
        <f t="shared" si="0"/>
        <v>-9.4573571030015912E-3</v>
      </c>
      <c r="E19">
        <f t="shared" si="1"/>
        <v>-2.5240144064588581E-3</v>
      </c>
      <c r="I19">
        <f>MAX($B$2:B19)</f>
        <v>57459.45</v>
      </c>
      <c r="J19">
        <f t="shared" si="2"/>
        <v>-6.8465674488703632E-3</v>
      </c>
      <c r="L19" s="1">
        <v>45856</v>
      </c>
      <c r="M19">
        <f t="shared" si="3"/>
        <v>56283</v>
      </c>
      <c r="N19">
        <f t="shared" si="4"/>
        <v>56283</v>
      </c>
    </row>
    <row r="20" spans="1:14" x14ac:dyDescent="0.3">
      <c r="A20" s="1">
        <v>45863</v>
      </c>
      <c r="B20">
        <v>56528.9</v>
      </c>
      <c r="C20">
        <f t="shared" si="5"/>
        <v>-9.412776948816353E-3</v>
      </c>
      <c r="D20">
        <f t="shared" si="0"/>
        <v>-7.8853977157153053E-3</v>
      </c>
      <c r="E20">
        <f t="shared" si="1"/>
        <v>-9.412776948816353E-3</v>
      </c>
      <c r="I20">
        <f>MAX($B$2:B20)</f>
        <v>57459.45</v>
      </c>
      <c r="J20">
        <f t="shared" si="2"/>
        <v>-1.6194899185425472E-2</v>
      </c>
      <c r="L20" s="1">
        <v>45857</v>
      </c>
      <c r="M20" t="str">
        <f t="shared" si="3"/>
        <v/>
      </c>
      <c r="N20">
        <f t="shared" si="4"/>
        <v>56283</v>
      </c>
    </row>
    <row r="21" spans="1:14" x14ac:dyDescent="0.3">
      <c r="A21" s="1">
        <v>45866</v>
      </c>
      <c r="B21">
        <v>56084.9</v>
      </c>
      <c r="C21">
        <f t="shared" si="5"/>
        <v>-7.8543895246502224E-3</v>
      </c>
      <c r="D21">
        <f t="shared" si="0"/>
        <v>2.4415252866019448E-3</v>
      </c>
      <c r="E21">
        <f t="shared" si="1"/>
        <v>-7.8543895246502224E-3</v>
      </c>
      <c r="F21">
        <f>_xlfn.STDEV.P(C2:C21)</f>
        <v>5.7419849327872878E-3</v>
      </c>
      <c r="G21">
        <f>AVERAGE(B2:B21)</f>
        <v>56903.202499999992</v>
      </c>
      <c r="I21">
        <f>MAX($B$2:B21)</f>
        <v>57459.45</v>
      </c>
      <c r="J21">
        <f t="shared" si="2"/>
        <v>-2.3922087663560923E-2</v>
      </c>
      <c r="L21" s="1">
        <v>45858</v>
      </c>
      <c r="M21" t="str">
        <f t="shared" si="3"/>
        <v/>
      </c>
      <c r="N21">
        <f t="shared" si="4"/>
        <v>56283</v>
      </c>
    </row>
    <row r="22" spans="1:14" x14ac:dyDescent="0.3">
      <c r="A22" s="1">
        <v>45867</v>
      </c>
      <c r="B22">
        <v>56222</v>
      </c>
      <c r="C22">
        <f t="shared" si="5"/>
        <v>2.4445082366198129E-3</v>
      </c>
      <c r="D22">
        <f t="shared" si="0"/>
        <v>-1.2689916602182439E-3</v>
      </c>
      <c r="E22">
        <f t="shared" si="1"/>
        <v>2.4445082366198129E-3</v>
      </c>
      <c r="F22">
        <f t="shared" ref="F22:F85" si="6">_xlfn.STDEV.P(C3:C22)</f>
        <v>5.7918882095810368E-3</v>
      </c>
      <c r="G22">
        <f t="shared" ref="G22:G85" si="7">AVERAGE(B3:B22)</f>
        <v>56841.329999999994</v>
      </c>
      <c r="I22">
        <f>MAX($B$2:B22)</f>
        <v>57459.45</v>
      </c>
      <c r="J22">
        <f t="shared" si="2"/>
        <v>-2.1536057167271826E-2</v>
      </c>
      <c r="L22" s="1">
        <v>45859</v>
      </c>
      <c r="M22">
        <f t="shared" si="3"/>
        <v>56952.75</v>
      </c>
      <c r="N22">
        <f t="shared" si="4"/>
        <v>56952.75</v>
      </c>
    </row>
    <row r="23" spans="1:14" x14ac:dyDescent="0.3">
      <c r="A23" s="1">
        <v>45868</v>
      </c>
      <c r="B23">
        <v>56150.7</v>
      </c>
      <c r="C23">
        <f t="shared" si="5"/>
        <v>-1.268186830778039E-3</v>
      </c>
      <c r="D23">
        <f t="shared" si="0"/>
        <v>-3.3671522050858064E-3</v>
      </c>
      <c r="E23">
        <f t="shared" si="1"/>
        <v>-1.268186830778039E-3</v>
      </c>
      <c r="F23">
        <f t="shared" si="6"/>
        <v>5.5701831699455882E-3</v>
      </c>
      <c r="G23">
        <f t="shared" si="7"/>
        <v>56798.904999999992</v>
      </c>
      <c r="I23">
        <f>MAX($B$2:B23)</f>
        <v>57459.45</v>
      </c>
      <c r="J23">
        <f t="shared" si="2"/>
        <v>-2.2776932253963447E-2</v>
      </c>
      <c r="L23" s="1">
        <v>45860</v>
      </c>
      <c r="M23">
        <f t="shared" si="3"/>
        <v>56756</v>
      </c>
      <c r="N23">
        <f t="shared" si="4"/>
        <v>56756</v>
      </c>
    </row>
    <row r="24" spans="1:14" x14ac:dyDescent="0.3">
      <c r="A24" s="1">
        <v>45869</v>
      </c>
      <c r="B24">
        <v>55961.95</v>
      </c>
      <c r="C24">
        <f t="shared" si="5"/>
        <v>-3.3614897053821234E-3</v>
      </c>
      <c r="D24">
        <f t="shared" si="0"/>
        <v>-6.1722975801902094E-3</v>
      </c>
      <c r="E24">
        <f t="shared" si="1"/>
        <v>-3.3614897053821234E-3</v>
      </c>
      <c r="F24">
        <f t="shared" si="6"/>
        <v>5.5633493217997773E-3</v>
      </c>
      <c r="G24">
        <f t="shared" si="7"/>
        <v>56757.405000000006</v>
      </c>
      <c r="I24">
        <f>MAX($B$2:B24)</f>
        <v>57459.45</v>
      </c>
      <c r="J24">
        <f t="shared" si="2"/>
        <v>-2.6061857536053688E-2</v>
      </c>
      <c r="L24" s="1">
        <v>45861</v>
      </c>
      <c r="M24">
        <f t="shared" si="3"/>
        <v>57210.45</v>
      </c>
      <c r="N24">
        <f t="shared" si="4"/>
        <v>57210.45</v>
      </c>
    </row>
    <row r="25" spans="1:14" x14ac:dyDescent="0.3">
      <c r="A25" s="1">
        <v>45870</v>
      </c>
      <c r="B25">
        <v>55617.599999999999</v>
      </c>
      <c r="C25">
        <f t="shared" si="5"/>
        <v>-6.1532880823487847E-3</v>
      </c>
      <c r="D25">
        <f t="shared" si="0"/>
        <v>3.1464365036024861E-5</v>
      </c>
      <c r="E25">
        <f t="shared" si="1"/>
        <v>-6.1532880823487847E-3</v>
      </c>
      <c r="F25">
        <f t="shared" si="6"/>
        <v>5.5618807370814514E-3</v>
      </c>
      <c r="G25">
        <f t="shared" si="7"/>
        <v>56686.69</v>
      </c>
      <c r="I25">
        <f>MAX($B$2:B25)</f>
        <v>57459.45</v>
      </c>
      <c r="J25">
        <f t="shared" si="2"/>
        <v>-3.2054779501022E-2</v>
      </c>
      <c r="L25" s="1">
        <v>45862</v>
      </c>
      <c r="M25">
        <f t="shared" si="3"/>
        <v>57066.05</v>
      </c>
      <c r="N25">
        <f t="shared" si="4"/>
        <v>57066.05</v>
      </c>
    </row>
    <row r="26" spans="1:14" x14ac:dyDescent="0.3">
      <c r="A26" s="1">
        <v>45873</v>
      </c>
      <c r="B26">
        <v>55619.35</v>
      </c>
      <c r="C26">
        <f t="shared" si="5"/>
        <v>3.1464860044302522E-5</v>
      </c>
      <c r="D26">
        <f t="shared" si="0"/>
        <v>-4.6693350986352321E-3</v>
      </c>
      <c r="E26">
        <f t="shared" si="1"/>
        <v>3.1464860044302522E-5</v>
      </c>
      <c r="F26">
        <f t="shared" si="6"/>
        <v>5.5684425650638697E-3</v>
      </c>
      <c r="G26">
        <f t="shared" si="7"/>
        <v>56620.197500000009</v>
      </c>
      <c r="I26">
        <f>MAX($B$2:B26)</f>
        <v>57459.45</v>
      </c>
      <c r="J26">
        <f t="shared" si="2"/>
        <v>-3.2024323240128452E-2</v>
      </c>
      <c r="L26" s="1">
        <v>45863</v>
      </c>
      <c r="M26">
        <f t="shared" si="3"/>
        <v>56528.9</v>
      </c>
      <c r="N26">
        <f t="shared" si="4"/>
        <v>56528.9</v>
      </c>
    </row>
    <row r="27" spans="1:14" x14ac:dyDescent="0.3">
      <c r="A27" s="1">
        <v>45874</v>
      </c>
      <c r="B27">
        <v>55360.25</v>
      </c>
      <c r="C27">
        <f t="shared" si="5"/>
        <v>-4.6584507010599468E-3</v>
      </c>
      <c r="D27">
        <f t="shared" si="0"/>
        <v>9.1900984518435852E-4</v>
      </c>
      <c r="E27">
        <f t="shared" si="1"/>
        <v>-4.6584507010599468E-3</v>
      </c>
      <c r="F27">
        <f t="shared" si="6"/>
        <v>5.4050823536697396E-3</v>
      </c>
      <c r="G27">
        <f t="shared" si="7"/>
        <v>56525.394999999997</v>
      </c>
      <c r="I27">
        <f>MAX($B$2:B27)</f>
        <v>57459.45</v>
      </c>
      <c r="J27">
        <f t="shared" si="2"/>
        <v>-3.6533590210139452E-2</v>
      </c>
      <c r="L27" s="1">
        <v>45864</v>
      </c>
      <c r="M27" t="str">
        <f t="shared" si="3"/>
        <v/>
      </c>
      <c r="N27">
        <f t="shared" si="4"/>
        <v>56528.9</v>
      </c>
    </row>
    <row r="28" spans="1:14" x14ac:dyDescent="0.3">
      <c r="A28" s="1">
        <v>45875</v>
      </c>
      <c r="B28">
        <v>55411.15</v>
      </c>
      <c r="C28">
        <f t="shared" si="5"/>
        <v>9.1943226412455608E-4</v>
      </c>
      <c r="D28">
        <f t="shared" si="0"/>
        <v>1.9831922001612504E-3</v>
      </c>
      <c r="E28">
        <f t="shared" si="1"/>
        <v>9.1943226412455608E-4</v>
      </c>
      <c r="F28">
        <f t="shared" si="6"/>
        <v>5.4314118653731765E-3</v>
      </c>
      <c r="G28">
        <f t="shared" si="7"/>
        <v>56435.274999999987</v>
      </c>
      <c r="I28">
        <f>MAX($B$2:B28)</f>
        <v>57459.45</v>
      </c>
      <c r="J28">
        <f t="shared" si="2"/>
        <v>-3.5647748107578398E-2</v>
      </c>
      <c r="L28" s="1">
        <v>45865</v>
      </c>
      <c r="M28" t="str">
        <f t="shared" si="3"/>
        <v/>
      </c>
      <c r="N28">
        <f t="shared" si="4"/>
        <v>56528.9</v>
      </c>
    </row>
    <row r="29" spans="1:14" x14ac:dyDescent="0.3">
      <c r="A29" s="1">
        <v>45876</v>
      </c>
      <c r="B29">
        <v>55521.15</v>
      </c>
      <c r="C29">
        <f t="shared" si="5"/>
        <v>1.9851600264567692E-3</v>
      </c>
      <c r="D29">
        <f t="shared" si="0"/>
        <v>-9.3417570673141621E-3</v>
      </c>
      <c r="E29">
        <f t="shared" si="1"/>
        <v>1.9851600264567692E-3</v>
      </c>
      <c r="F29">
        <f t="shared" si="6"/>
        <v>5.4412030205894793E-3</v>
      </c>
      <c r="G29">
        <f t="shared" si="7"/>
        <v>56363.532499999987</v>
      </c>
      <c r="I29">
        <f>MAX($B$2:B29)</f>
        <v>57459.45</v>
      </c>
      <c r="J29">
        <f t="shared" si="2"/>
        <v>-3.3733354565697996E-2</v>
      </c>
      <c r="L29" s="1">
        <v>45866</v>
      </c>
      <c r="M29">
        <f t="shared" si="3"/>
        <v>56084.9</v>
      </c>
      <c r="N29">
        <f t="shared" si="4"/>
        <v>56084.9</v>
      </c>
    </row>
    <row r="30" spans="1:14" x14ac:dyDescent="0.3">
      <c r="A30" s="1">
        <v>45877</v>
      </c>
      <c r="B30">
        <v>55004.9</v>
      </c>
      <c r="C30">
        <f t="shared" si="5"/>
        <v>-9.2982584114342012E-3</v>
      </c>
      <c r="D30">
        <f t="shared" si="0"/>
        <v>9.1544235166784345E-3</v>
      </c>
      <c r="E30">
        <f t="shared" si="1"/>
        <v>-9.2982584114342012E-3</v>
      </c>
      <c r="F30">
        <f t="shared" si="6"/>
        <v>5.7004917542429565E-3</v>
      </c>
      <c r="G30">
        <f t="shared" si="7"/>
        <v>56276.042499999996</v>
      </c>
      <c r="I30">
        <f>MAX($B$2:B30)</f>
        <v>57459.45</v>
      </c>
      <c r="J30">
        <f t="shared" si="2"/>
        <v>-4.2717951529295806E-2</v>
      </c>
      <c r="L30" s="1">
        <v>45867</v>
      </c>
      <c r="M30">
        <f t="shared" si="3"/>
        <v>56222</v>
      </c>
      <c r="N30">
        <f t="shared" si="4"/>
        <v>56222</v>
      </c>
    </row>
    <row r="31" spans="1:14" x14ac:dyDescent="0.3">
      <c r="A31" s="1">
        <v>45880</v>
      </c>
      <c r="B31">
        <v>55510.75</v>
      </c>
      <c r="C31">
        <f t="shared" si="5"/>
        <v>9.1964534068782692E-3</v>
      </c>
      <c r="D31">
        <f t="shared" si="0"/>
        <v>-8.4492804870044073E-3</v>
      </c>
      <c r="E31">
        <f t="shared" si="1"/>
        <v>9.1964534068782692E-3</v>
      </c>
      <c r="F31">
        <f t="shared" si="6"/>
        <v>6.1574797403891272E-3</v>
      </c>
      <c r="G31">
        <f t="shared" si="7"/>
        <v>56213.3125</v>
      </c>
      <c r="I31">
        <f>MAX($B$2:B31)</f>
        <v>57459.45</v>
      </c>
      <c r="J31">
        <f t="shared" si="2"/>
        <v>-3.3914351773293987E-2</v>
      </c>
      <c r="L31" s="1">
        <v>45868</v>
      </c>
      <c r="M31">
        <f t="shared" si="3"/>
        <v>56150.7</v>
      </c>
      <c r="N31">
        <f t="shared" si="4"/>
        <v>56150.7</v>
      </c>
    </row>
    <row r="32" spans="1:14" x14ac:dyDescent="0.3">
      <c r="A32" s="1">
        <v>45881</v>
      </c>
      <c r="B32">
        <v>55043.7</v>
      </c>
      <c r="C32">
        <f t="shared" si="5"/>
        <v>-8.4136856374666686E-3</v>
      </c>
      <c r="D32">
        <f t="shared" si="0"/>
        <v>2.4994308778371658E-3</v>
      </c>
      <c r="E32">
        <f t="shared" si="1"/>
        <v>-8.4136856374666686E-3</v>
      </c>
      <c r="F32">
        <f t="shared" si="6"/>
        <v>6.225686310067759E-3</v>
      </c>
      <c r="G32">
        <f t="shared" si="7"/>
        <v>56115.165000000001</v>
      </c>
      <c r="I32">
        <f>MAX($B$2:B32)</f>
        <v>57459.45</v>
      </c>
      <c r="J32">
        <f t="shared" si="2"/>
        <v>-4.2042692716341701E-2</v>
      </c>
      <c r="L32" s="1">
        <v>45869</v>
      </c>
      <c r="M32">
        <f t="shared" si="3"/>
        <v>55961.95</v>
      </c>
      <c r="N32">
        <f t="shared" si="4"/>
        <v>55961.95</v>
      </c>
    </row>
    <row r="33" spans="1:14" x14ac:dyDescent="0.3">
      <c r="A33" s="1">
        <v>45882</v>
      </c>
      <c r="B33">
        <v>55181.45</v>
      </c>
      <c r="C33">
        <f t="shared" si="5"/>
        <v>2.5025570592093192E-3</v>
      </c>
      <c r="D33">
        <f t="shared" si="0"/>
        <v>2.9025574265699062E-3</v>
      </c>
      <c r="E33">
        <f t="shared" si="1"/>
        <v>2.5025570592093192E-3</v>
      </c>
      <c r="F33">
        <f t="shared" si="6"/>
        <v>6.2134610707616136E-3</v>
      </c>
      <c r="G33">
        <f t="shared" si="7"/>
        <v>56015.79</v>
      </c>
      <c r="I33">
        <f>MAX($B$2:B33)</f>
        <v>57459.45</v>
      </c>
      <c r="J33">
        <f t="shared" si="2"/>
        <v>-3.9645349894577832E-2</v>
      </c>
      <c r="L33" s="1">
        <v>45870</v>
      </c>
      <c r="M33">
        <f t="shared" si="3"/>
        <v>55617.599999999999</v>
      </c>
      <c r="N33">
        <f t="shared" si="4"/>
        <v>55617.599999999999</v>
      </c>
    </row>
    <row r="34" spans="1:14" x14ac:dyDescent="0.3">
      <c r="A34" s="1">
        <v>45883</v>
      </c>
      <c r="B34">
        <v>55341.85</v>
      </c>
      <c r="C34">
        <f t="shared" si="5"/>
        <v>2.9067739249331336E-3</v>
      </c>
      <c r="D34">
        <f t="shared" si="0"/>
        <v>7.0771181279747674E-3</v>
      </c>
      <c r="E34">
        <f t="shared" si="1"/>
        <v>2.9067739249331336E-3</v>
      </c>
      <c r="F34">
        <f t="shared" si="6"/>
        <v>6.2138435096809868E-3</v>
      </c>
      <c r="G34">
        <f t="shared" si="7"/>
        <v>55941.442500000005</v>
      </c>
      <c r="I34">
        <f>MAX($B$2:B34)</f>
        <v>57459.45</v>
      </c>
      <c r="J34">
        <f t="shared" si="2"/>
        <v>-3.6853816038963108E-2</v>
      </c>
      <c r="L34" s="1">
        <v>45871</v>
      </c>
      <c r="M34" t="str">
        <f t="shared" si="3"/>
        <v/>
      </c>
      <c r="N34">
        <f t="shared" si="4"/>
        <v>55617.599999999999</v>
      </c>
    </row>
    <row r="35" spans="1:14" x14ac:dyDescent="0.3">
      <c r="A35" s="1">
        <v>45887</v>
      </c>
      <c r="B35">
        <v>55734.9</v>
      </c>
      <c r="C35">
        <f t="shared" si="5"/>
        <v>7.102220110097565E-3</v>
      </c>
      <c r="D35">
        <f t="shared" si="0"/>
        <v>2.3342294047412069E-3</v>
      </c>
      <c r="E35">
        <f t="shared" si="1"/>
        <v>7.102220110097565E-3</v>
      </c>
      <c r="F35">
        <f t="shared" si="6"/>
        <v>6.1648281532051619E-3</v>
      </c>
      <c r="G35">
        <f t="shared" si="7"/>
        <v>55914.037499999999</v>
      </c>
      <c r="I35">
        <f>MAX($B$2:B35)</f>
        <v>57459.45</v>
      </c>
      <c r="J35">
        <f t="shared" si="2"/>
        <v>-3.0013339842271301E-2</v>
      </c>
      <c r="L35" s="1">
        <v>45872</v>
      </c>
      <c r="M35" t="str">
        <f t="shared" si="3"/>
        <v/>
      </c>
      <c r="N35">
        <f t="shared" si="4"/>
        <v>55617.599999999999</v>
      </c>
    </row>
    <row r="36" spans="1:14" x14ac:dyDescent="0.3">
      <c r="A36" s="1">
        <v>45888</v>
      </c>
      <c r="B36">
        <v>55865.15</v>
      </c>
      <c r="C36">
        <f t="shared" si="5"/>
        <v>2.3369558391600235E-3</v>
      </c>
      <c r="D36">
        <f t="shared" si="0"/>
        <v>-2.9875344514265741E-3</v>
      </c>
      <c r="E36">
        <f t="shared" si="1"/>
        <v>2.3369558391600235E-3</v>
      </c>
      <c r="F36">
        <f t="shared" si="6"/>
        <v>5.5244731041140145E-3</v>
      </c>
      <c r="G36">
        <f t="shared" si="7"/>
        <v>55859.657499999994</v>
      </c>
      <c r="I36">
        <f>MAX($B$2:B36)</f>
        <v>57459.45</v>
      </c>
      <c r="J36">
        <f t="shared" si="2"/>
        <v>-2.7746523852908368E-2</v>
      </c>
      <c r="L36" s="1">
        <v>45873</v>
      </c>
      <c r="M36">
        <f t="shared" si="3"/>
        <v>55619.35</v>
      </c>
      <c r="N36">
        <f t="shared" si="4"/>
        <v>55619.35</v>
      </c>
    </row>
    <row r="37" spans="1:14" x14ac:dyDescent="0.3">
      <c r="A37" s="1">
        <v>45889</v>
      </c>
      <c r="B37">
        <v>55698.5</v>
      </c>
      <c r="C37">
        <f t="shared" si="5"/>
        <v>-2.9830762111978837E-3</v>
      </c>
      <c r="D37">
        <f t="shared" si="0"/>
        <v>1.0219468212015847E-3</v>
      </c>
      <c r="E37">
        <f t="shared" si="1"/>
        <v>-2.9830762111978837E-3</v>
      </c>
      <c r="F37">
        <f t="shared" si="6"/>
        <v>5.5147241716697387E-3</v>
      </c>
      <c r="G37">
        <f t="shared" si="7"/>
        <v>55806.782499999994</v>
      </c>
      <c r="I37">
        <f>MAX($B$2:B37)</f>
        <v>57459.45</v>
      </c>
      <c r="J37">
        <f t="shared" si="2"/>
        <v>-3.0646830068857205E-2</v>
      </c>
      <c r="L37" s="1">
        <v>45874</v>
      </c>
      <c r="M37">
        <f t="shared" si="3"/>
        <v>55360.25</v>
      </c>
      <c r="N37">
        <f t="shared" si="4"/>
        <v>55360.25</v>
      </c>
    </row>
    <row r="38" spans="1:14" x14ac:dyDescent="0.3">
      <c r="A38" s="1">
        <v>45890</v>
      </c>
      <c r="B38">
        <v>55755.45</v>
      </c>
      <c r="C38">
        <f t="shared" si="5"/>
        <v>1.0224691867823565E-3</v>
      </c>
      <c r="D38">
        <f t="shared" si="0"/>
        <v>-1.092929718920887E-2</v>
      </c>
      <c r="E38">
        <f t="shared" si="1"/>
        <v>1.0224691867823565E-3</v>
      </c>
      <c r="F38">
        <f t="shared" si="6"/>
        <v>5.1469332110094107E-3</v>
      </c>
      <c r="G38">
        <f t="shared" si="7"/>
        <v>55734.032499999994</v>
      </c>
      <c r="I38">
        <f>MAX($B$2:B38)</f>
        <v>57459.45</v>
      </c>
      <c r="J38">
        <f t="shared" si="2"/>
        <v>-2.965569632149281E-2</v>
      </c>
      <c r="L38" s="1">
        <v>45875</v>
      </c>
      <c r="M38">
        <f t="shared" si="3"/>
        <v>55411.15</v>
      </c>
      <c r="N38">
        <f t="shared" si="4"/>
        <v>55411.15</v>
      </c>
    </row>
    <row r="39" spans="1:14" x14ac:dyDescent="0.3">
      <c r="A39" s="1">
        <v>45891</v>
      </c>
      <c r="B39">
        <v>55149.4</v>
      </c>
      <c r="C39">
        <f t="shared" si="5"/>
        <v>-1.0869789410721207E-2</v>
      </c>
      <c r="D39">
        <f t="shared" si="0"/>
        <v>-1.8315566378482025E-4</v>
      </c>
      <c r="E39">
        <f t="shared" si="1"/>
        <v>-1.0869789410721207E-2</v>
      </c>
      <c r="F39">
        <f t="shared" si="6"/>
        <v>5.5536149749468916E-3</v>
      </c>
      <c r="G39">
        <f t="shared" si="7"/>
        <v>55638.19999999999</v>
      </c>
      <c r="I39">
        <f>MAX($B$2:B39)</f>
        <v>57459.45</v>
      </c>
      <c r="J39">
        <f t="shared" si="2"/>
        <v>-4.0203134558371087E-2</v>
      </c>
      <c r="L39" s="1">
        <v>45876</v>
      </c>
      <c r="M39">
        <f t="shared" si="3"/>
        <v>55521.15</v>
      </c>
      <c r="N39">
        <f t="shared" si="4"/>
        <v>55521.15</v>
      </c>
    </row>
    <row r="40" spans="1:14" x14ac:dyDescent="0.3">
      <c r="A40" s="1">
        <v>45894</v>
      </c>
      <c r="B40">
        <v>55139.3</v>
      </c>
      <c r="C40">
        <f t="shared" si="5"/>
        <v>-1.8313889181021994E-4</v>
      </c>
      <c r="D40">
        <f t="shared" si="0"/>
        <v>-1.2571596749152245E-2</v>
      </c>
      <c r="E40">
        <f t="shared" si="1"/>
        <v>-1.8313889181021994E-4</v>
      </c>
      <c r="F40">
        <f t="shared" si="6"/>
        <v>5.2689954524565204E-3</v>
      </c>
      <c r="G40">
        <f t="shared" si="7"/>
        <v>55568.719999999994</v>
      </c>
      <c r="I40">
        <f>MAX($B$2:B40)</f>
        <v>57459.45</v>
      </c>
      <c r="J40">
        <f t="shared" si="2"/>
        <v>-4.0378910692670994E-2</v>
      </c>
      <c r="L40" s="1">
        <v>45877</v>
      </c>
      <c r="M40">
        <f t="shared" si="3"/>
        <v>55004.9</v>
      </c>
      <c r="N40">
        <f t="shared" si="4"/>
        <v>55004.9</v>
      </c>
    </row>
    <row r="41" spans="1:14" x14ac:dyDescent="0.3">
      <c r="A41" s="1">
        <v>45895</v>
      </c>
      <c r="B41">
        <v>54450.45</v>
      </c>
      <c r="C41">
        <f t="shared" si="5"/>
        <v>-1.249290433502068E-2</v>
      </c>
      <c r="D41">
        <f t="shared" si="0"/>
        <v>-1.1639465371337546E-2</v>
      </c>
      <c r="E41">
        <f t="shared" si="1"/>
        <v>-1.249290433502068E-2</v>
      </c>
      <c r="F41">
        <f t="shared" si="6"/>
        <v>5.64421347706169E-3</v>
      </c>
      <c r="G41">
        <f t="shared" si="7"/>
        <v>55486.997499999998</v>
      </c>
      <c r="I41">
        <f>MAX($B$2:B41)</f>
        <v>57459.45</v>
      </c>
      <c r="J41">
        <f t="shared" si="2"/>
        <v>-5.2367365159255788E-2</v>
      </c>
      <c r="L41" s="1">
        <v>45878</v>
      </c>
      <c r="M41" t="str">
        <f t="shared" si="3"/>
        <v/>
      </c>
      <c r="N41">
        <f t="shared" si="4"/>
        <v>55004.9</v>
      </c>
    </row>
    <row r="42" spans="1:14" x14ac:dyDescent="0.3">
      <c r="A42" s="1">
        <v>45897</v>
      </c>
      <c r="B42">
        <v>53820.35</v>
      </c>
      <c r="C42">
        <f t="shared" si="5"/>
        <v>-1.1571988844903919E-2</v>
      </c>
      <c r="D42">
        <f t="shared" si="0"/>
        <v>-3.0648726957647125E-3</v>
      </c>
      <c r="E42">
        <f t="shared" si="1"/>
        <v>-1.1571988844903919E-2</v>
      </c>
      <c r="F42">
        <f t="shared" si="6"/>
        <v>5.9761145430609064E-3</v>
      </c>
      <c r="G42">
        <f t="shared" si="7"/>
        <v>55366.915000000001</v>
      </c>
      <c r="I42">
        <f>MAX($B$2:B42)</f>
        <v>57459.45</v>
      </c>
      <c r="J42">
        <f t="shared" si="2"/>
        <v>-6.3333359438699791E-2</v>
      </c>
      <c r="L42" s="1">
        <v>45879</v>
      </c>
      <c r="M42" t="str">
        <f t="shared" si="3"/>
        <v/>
      </c>
      <c r="N42">
        <f t="shared" si="4"/>
        <v>55004.9</v>
      </c>
    </row>
    <row r="43" spans="1:14" x14ac:dyDescent="0.3">
      <c r="A43" s="1">
        <v>45898</v>
      </c>
      <c r="B43">
        <v>53655.65</v>
      </c>
      <c r="C43">
        <f t="shared" si="5"/>
        <v>-3.060180768055152E-3</v>
      </c>
      <c r="D43">
        <f t="shared" si="0"/>
        <v>6.4426401649139492E-3</v>
      </c>
      <c r="E43">
        <f t="shared" si="1"/>
        <v>-3.060180768055152E-3</v>
      </c>
      <c r="F43">
        <f t="shared" si="6"/>
        <v>5.97546749295144E-3</v>
      </c>
      <c r="G43">
        <f t="shared" si="7"/>
        <v>55242.162499999999</v>
      </c>
      <c r="I43">
        <f>MAX($B$2:B43)</f>
        <v>57459.45</v>
      </c>
      <c r="J43">
        <f t="shared" si="2"/>
        <v>-6.6199728678224309E-2</v>
      </c>
      <c r="L43" s="1">
        <v>45880</v>
      </c>
      <c r="M43">
        <f t="shared" si="3"/>
        <v>55510.75</v>
      </c>
      <c r="N43">
        <f t="shared" si="4"/>
        <v>55510.75</v>
      </c>
    </row>
    <row r="44" spans="1:14" x14ac:dyDescent="0.3">
      <c r="A44" s="1">
        <v>45901</v>
      </c>
      <c r="B44">
        <v>54002.45</v>
      </c>
      <c r="C44">
        <f t="shared" si="5"/>
        <v>6.4634386127089246E-3</v>
      </c>
      <c r="D44">
        <f t="shared" si="0"/>
        <v>-6.3429352262220741E-3</v>
      </c>
      <c r="E44">
        <f t="shared" si="1"/>
        <v>6.4634386127089246E-3</v>
      </c>
      <c r="F44">
        <f t="shared" si="6"/>
        <v>6.2611037089934235E-3</v>
      </c>
      <c r="G44">
        <f t="shared" si="7"/>
        <v>55144.1875</v>
      </c>
      <c r="I44">
        <f>MAX($B$2:B44)</f>
        <v>57459.45</v>
      </c>
      <c r="J44">
        <f t="shared" si="2"/>
        <v>-6.0164167948005075E-2</v>
      </c>
      <c r="L44" s="1">
        <v>45881</v>
      </c>
      <c r="M44">
        <f t="shared" si="3"/>
        <v>55043.7</v>
      </c>
      <c r="N44">
        <f t="shared" si="4"/>
        <v>55043.7</v>
      </c>
    </row>
    <row r="45" spans="1:14" x14ac:dyDescent="0.3">
      <c r="A45" s="1">
        <v>45902</v>
      </c>
      <c r="B45">
        <v>53661</v>
      </c>
      <c r="C45">
        <f t="shared" si="5"/>
        <v>-6.3228612775901296E-3</v>
      </c>
      <c r="D45">
        <f t="shared" si="0"/>
        <v>7.5477100550238752E-3</v>
      </c>
      <c r="E45">
        <f t="shared" si="1"/>
        <v>-6.3228612775901296E-3</v>
      </c>
      <c r="F45">
        <f t="shared" si="6"/>
        <v>6.2671579513971405E-3</v>
      </c>
      <c r="G45">
        <f t="shared" si="7"/>
        <v>55046.357499999998</v>
      </c>
      <c r="I45">
        <f>MAX($B$2:B45)</f>
        <v>57459.45</v>
      </c>
      <c r="J45">
        <f t="shared" si="2"/>
        <v>-6.6106619537778327E-2</v>
      </c>
      <c r="L45" s="1">
        <v>45882</v>
      </c>
      <c r="M45">
        <f t="shared" si="3"/>
        <v>55181.45</v>
      </c>
      <c r="N45">
        <f t="shared" si="4"/>
        <v>55181.45</v>
      </c>
    </row>
    <row r="46" spans="1:14" x14ac:dyDescent="0.3">
      <c r="A46" s="1">
        <v>45903</v>
      </c>
      <c r="B46">
        <v>54067.55</v>
      </c>
      <c r="C46">
        <f t="shared" si="5"/>
        <v>7.576265816887552E-3</v>
      </c>
      <c r="D46">
        <f t="shared" si="0"/>
        <v>1.4610284556643637E-4</v>
      </c>
      <c r="E46">
        <f t="shared" si="1"/>
        <v>7.576265816887552E-3</v>
      </c>
      <c r="F46">
        <f t="shared" si="6"/>
        <v>6.5833011637414472E-3</v>
      </c>
      <c r="G46">
        <f t="shared" si="7"/>
        <v>54968.767499999994</v>
      </c>
      <c r="I46">
        <f>MAX($B$2:B46)</f>
        <v>57459.45</v>
      </c>
      <c r="J46">
        <f t="shared" si="2"/>
        <v>-5.9031195042764842E-2</v>
      </c>
      <c r="L46" s="1">
        <v>45883</v>
      </c>
      <c r="M46">
        <f t="shared" si="3"/>
        <v>55341.85</v>
      </c>
      <c r="N46">
        <f t="shared" si="4"/>
        <v>55341.85</v>
      </c>
    </row>
    <row r="47" spans="1:14" x14ac:dyDescent="0.3">
      <c r="A47" s="1">
        <v>45904</v>
      </c>
      <c r="B47">
        <v>54075.45</v>
      </c>
      <c r="C47">
        <f t="shared" si="5"/>
        <v>1.4611351910700927E-4</v>
      </c>
      <c r="D47">
        <f t="shared" si="0"/>
        <v>7.2280250859219639E-4</v>
      </c>
      <c r="E47">
        <f t="shared" si="1"/>
        <v>1.4611351910700927E-4</v>
      </c>
      <c r="F47">
        <f t="shared" si="6"/>
        <v>6.5472904263708144E-3</v>
      </c>
      <c r="G47">
        <f t="shared" si="7"/>
        <v>54904.527500000004</v>
      </c>
      <c r="I47">
        <f>MAX($B$2:B47)</f>
        <v>57459.45</v>
      </c>
      <c r="J47">
        <f t="shared" si="2"/>
        <v>-5.8893706779302626E-2</v>
      </c>
      <c r="L47" s="1">
        <v>45884</v>
      </c>
      <c r="M47" t="str">
        <f t="shared" si="3"/>
        <v/>
      </c>
      <c r="N47">
        <f t="shared" si="4"/>
        <v>55341.85</v>
      </c>
    </row>
    <row r="48" spans="1:14" x14ac:dyDescent="0.3">
      <c r="A48" s="1">
        <v>45905</v>
      </c>
      <c r="B48">
        <v>54114.55</v>
      </c>
      <c r="C48">
        <f t="shared" si="5"/>
        <v>7.2306379327413499E-4</v>
      </c>
      <c r="D48">
        <f t="shared" si="0"/>
        <v>1.3360857266972778E-3</v>
      </c>
      <c r="E48">
        <f t="shared" si="1"/>
        <v>7.2306379327413499E-4</v>
      </c>
      <c r="F48">
        <f t="shared" si="6"/>
        <v>6.5443234238894265E-3</v>
      </c>
      <c r="G48">
        <f t="shared" si="7"/>
        <v>54839.697499999995</v>
      </c>
      <c r="I48">
        <f>MAX($B$2:B48)</f>
        <v>57459.45</v>
      </c>
      <c r="J48">
        <f t="shared" si="2"/>
        <v>-5.8213226893052306E-2</v>
      </c>
      <c r="L48" s="1">
        <v>45885</v>
      </c>
      <c r="M48" t="str">
        <f t="shared" si="3"/>
        <v/>
      </c>
      <c r="N48">
        <f t="shared" si="4"/>
        <v>55341.85</v>
      </c>
    </row>
    <row r="49" spans="1:14" x14ac:dyDescent="0.3">
      <c r="A49" s="1">
        <v>45908</v>
      </c>
      <c r="B49">
        <v>54186.9</v>
      </c>
      <c r="C49">
        <f t="shared" si="5"/>
        <v>1.3369786868780863E-3</v>
      </c>
      <c r="D49">
        <f t="shared" si="0"/>
        <v>5.3873049096834927E-4</v>
      </c>
      <c r="E49">
        <f t="shared" si="1"/>
        <v>1.3369786868780863E-3</v>
      </c>
      <c r="F49">
        <f t="shared" si="6"/>
        <v>6.5302489041155522E-3</v>
      </c>
      <c r="G49">
        <f t="shared" si="7"/>
        <v>54772.985000000001</v>
      </c>
      <c r="I49">
        <f>MAX($B$2:B49)</f>
        <v>57459.45</v>
      </c>
      <c r="J49">
        <f t="shared" si="2"/>
        <v>-5.6954078049824629E-2</v>
      </c>
      <c r="L49" s="1">
        <v>45886</v>
      </c>
      <c r="M49" t="str">
        <f t="shared" si="3"/>
        <v/>
      </c>
      <c r="N49">
        <f t="shared" si="4"/>
        <v>55341.85</v>
      </c>
    </row>
    <row r="50" spans="1:14" x14ac:dyDescent="0.3">
      <c r="A50" s="1">
        <v>45909</v>
      </c>
      <c r="B50">
        <v>54216.1</v>
      </c>
      <c r="C50">
        <f t="shared" si="5"/>
        <v>5.3887563230221858E-4</v>
      </c>
      <c r="D50">
        <f t="shared" si="0"/>
        <v>5.883121754417432E-3</v>
      </c>
      <c r="E50">
        <f t="shared" si="1"/>
        <v>5.3887563230221858E-4</v>
      </c>
      <c r="F50">
        <f t="shared" si="6"/>
        <v>6.266462159103957E-3</v>
      </c>
      <c r="G50">
        <f t="shared" si="7"/>
        <v>54733.545000000006</v>
      </c>
      <c r="I50">
        <f>MAX($B$2:B50)</f>
        <v>57459.45</v>
      </c>
      <c r="J50">
        <f t="shared" si="2"/>
        <v>-5.6445893582343698E-2</v>
      </c>
      <c r="L50" s="1">
        <v>45887</v>
      </c>
      <c r="M50">
        <f t="shared" si="3"/>
        <v>55734.9</v>
      </c>
      <c r="N50">
        <f t="shared" si="4"/>
        <v>55734.9</v>
      </c>
    </row>
    <row r="51" spans="1:14" x14ac:dyDescent="0.3">
      <c r="A51" s="1">
        <v>45910</v>
      </c>
      <c r="B51">
        <v>54536</v>
      </c>
      <c r="C51">
        <f t="shared" si="5"/>
        <v>5.9004613020855702E-3</v>
      </c>
      <c r="D51">
        <f t="shared" si="0"/>
        <v>2.4467621926221443E-3</v>
      </c>
      <c r="E51">
        <f t="shared" si="1"/>
        <v>5.9004613020855702E-3</v>
      </c>
      <c r="F51">
        <f t="shared" si="6"/>
        <v>6.0433397119775446E-3</v>
      </c>
      <c r="G51">
        <f t="shared" si="7"/>
        <v>54684.807499999995</v>
      </c>
      <c r="H51">
        <f>AVERAGE(B2:B51)</f>
        <v>55762.799999999988</v>
      </c>
      <c r="I51">
        <f>MAX($B$2:B51)</f>
        <v>57459.45</v>
      </c>
      <c r="J51">
        <f t="shared" si="2"/>
        <v>-5.0878489091002392E-2</v>
      </c>
      <c r="L51" s="1">
        <v>45888</v>
      </c>
      <c r="M51">
        <f t="shared" si="3"/>
        <v>55865.15</v>
      </c>
      <c r="N51">
        <f t="shared" si="4"/>
        <v>55865.15</v>
      </c>
    </row>
    <row r="52" spans="1:14" x14ac:dyDescent="0.3">
      <c r="A52" s="1">
        <v>45911</v>
      </c>
      <c r="B52">
        <v>54669.599999999999</v>
      </c>
      <c r="C52">
        <f t="shared" si="5"/>
        <v>2.4497579580460348E-3</v>
      </c>
      <c r="D52">
        <f t="shared" si="0"/>
        <v>2.5520913312820762E-3</v>
      </c>
      <c r="E52">
        <f t="shared" si="1"/>
        <v>2.4497579580460348E-3</v>
      </c>
      <c r="F52">
        <f t="shared" si="6"/>
        <v>5.8248964525015766E-3</v>
      </c>
      <c r="G52">
        <f t="shared" si="7"/>
        <v>54666.102500000001</v>
      </c>
      <c r="H52">
        <f t="shared" ref="H52:H115" si="8">AVERAGE(B3:B52)</f>
        <v>55707.00299999999</v>
      </c>
      <c r="I52">
        <f>MAX($B$2:B52)</f>
        <v>57459.45</v>
      </c>
      <c r="J52">
        <f t="shared" si="2"/>
        <v>-4.8553371116500398E-2</v>
      </c>
      <c r="L52" s="1">
        <v>45889</v>
      </c>
      <c r="M52">
        <f t="shared" si="3"/>
        <v>55698.5</v>
      </c>
      <c r="N52">
        <f t="shared" si="4"/>
        <v>55698.5</v>
      </c>
    </row>
    <row r="53" spans="1:14" x14ac:dyDescent="0.3">
      <c r="A53" s="1">
        <v>45912</v>
      </c>
      <c r="B53">
        <v>54809.3</v>
      </c>
      <c r="C53">
        <f t="shared" si="5"/>
        <v>2.5553506884997213E-3</v>
      </c>
      <c r="D53">
        <f t="shared" si="0"/>
        <v>1.4321249626883959E-3</v>
      </c>
      <c r="E53">
        <f t="shared" si="1"/>
        <v>2.5553506884997213E-3</v>
      </c>
      <c r="F53">
        <f t="shared" si="6"/>
        <v>5.8261885454919124E-3</v>
      </c>
      <c r="G53">
        <f t="shared" si="7"/>
        <v>54647.494999999995</v>
      </c>
      <c r="H53">
        <f t="shared" si="8"/>
        <v>55663.204999999987</v>
      </c>
      <c r="I53">
        <f>MAX($B$2:B53)</f>
        <v>57459.45</v>
      </c>
      <c r="J53">
        <f t="shared" si="2"/>
        <v>-4.6122091318312207E-2</v>
      </c>
      <c r="L53" s="1">
        <v>45890</v>
      </c>
      <c r="M53">
        <f t="shared" si="3"/>
        <v>55755.45</v>
      </c>
      <c r="N53">
        <f t="shared" si="4"/>
        <v>55755.45</v>
      </c>
    </row>
    <row r="54" spans="1:14" x14ac:dyDescent="0.3">
      <c r="A54" s="1">
        <v>45915</v>
      </c>
      <c r="B54">
        <v>54887.85</v>
      </c>
      <c r="C54">
        <f t="shared" si="5"/>
        <v>1.4331509433617221E-3</v>
      </c>
      <c r="D54">
        <f t="shared" si="0"/>
        <v>4.7212145264559765E-3</v>
      </c>
      <c r="E54">
        <f t="shared" si="1"/>
        <v>1.4331509433617221E-3</v>
      </c>
      <c r="F54">
        <f t="shared" si="6"/>
        <v>5.7941290704208153E-3</v>
      </c>
      <c r="G54">
        <f t="shared" si="7"/>
        <v>54624.795000000006</v>
      </c>
      <c r="H54">
        <f t="shared" si="8"/>
        <v>55625.122999999992</v>
      </c>
      <c r="I54">
        <f>MAX($B$2:B54)</f>
        <v>57459.45</v>
      </c>
      <c r="J54">
        <f t="shared" si="2"/>
        <v>-4.4755040293633142E-2</v>
      </c>
      <c r="L54" s="1">
        <v>45891</v>
      </c>
      <c r="M54">
        <f t="shared" si="3"/>
        <v>55149.4</v>
      </c>
      <c r="N54">
        <f t="shared" si="4"/>
        <v>55149.4</v>
      </c>
    </row>
    <row r="55" spans="1:14" x14ac:dyDescent="0.3">
      <c r="A55" s="1">
        <v>45916</v>
      </c>
      <c r="B55">
        <v>55147.6</v>
      </c>
      <c r="C55">
        <f t="shared" si="5"/>
        <v>4.7323770196865062E-3</v>
      </c>
      <c r="D55">
        <f t="shared" si="0"/>
        <v>6.249065670802809E-3</v>
      </c>
      <c r="E55">
        <f t="shared" si="1"/>
        <v>4.7323770196865062E-3</v>
      </c>
      <c r="F55">
        <f t="shared" si="6"/>
        <v>5.66233073504938E-3</v>
      </c>
      <c r="G55">
        <f t="shared" si="7"/>
        <v>54595.430000000008</v>
      </c>
      <c r="H55">
        <f t="shared" si="8"/>
        <v>55587.436999999991</v>
      </c>
      <c r="I55">
        <f>MAX($B$2:B55)</f>
        <v>57459.45</v>
      </c>
      <c r="J55">
        <f t="shared" si="2"/>
        <v>-4.0234460998147363E-2</v>
      </c>
      <c r="L55" s="1">
        <v>45892</v>
      </c>
      <c r="M55" t="str">
        <f t="shared" si="3"/>
        <v/>
      </c>
      <c r="N55">
        <f t="shared" si="4"/>
        <v>55149.4</v>
      </c>
    </row>
    <row r="56" spans="1:14" x14ac:dyDescent="0.3">
      <c r="A56" s="1">
        <v>45917</v>
      </c>
      <c r="B56">
        <v>55493.3</v>
      </c>
      <c r="C56">
        <f t="shared" si="5"/>
        <v>6.2686318171598469E-3</v>
      </c>
      <c r="D56">
        <f t="shared" si="0"/>
        <v>4.2105514651179137E-3</v>
      </c>
      <c r="E56">
        <f t="shared" si="1"/>
        <v>6.2686318171598469E-3</v>
      </c>
      <c r="F56">
        <f t="shared" si="6"/>
        <v>5.8238242507228331E-3</v>
      </c>
      <c r="G56">
        <f t="shared" si="7"/>
        <v>54576.837500000001</v>
      </c>
      <c r="H56">
        <f t="shared" si="8"/>
        <v>55558.318999999989</v>
      </c>
      <c r="I56">
        <f>MAX($B$2:B56)</f>
        <v>57459.45</v>
      </c>
      <c r="J56">
        <f t="shared" si="2"/>
        <v>-3.421804420334678E-2</v>
      </c>
      <c r="L56" s="1">
        <v>45893</v>
      </c>
      <c r="M56" t="str">
        <f t="shared" si="3"/>
        <v/>
      </c>
      <c r="N56">
        <f t="shared" si="4"/>
        <v>55149.4</v>
      </c>
    </row>
    <row r="57" spans="1:14" x14ac:dyDescent="0.3">
      <c r="A57" s="1">
        <v>45918</v>
      </c>
      <c r="B57">
        <v>55727.45</v>
      </c>
      <c r="C57">
        <f t="shared" si="5"/>
        <v>4.2194282913431743E-3</v>
      </c>
      <c r="D57">
        <f t="shared" si="0"/>
        <v>-4.8315399021526574E-3</v>
      </c>
      <c r="E57">
        <f t="shared" si="1"/>
        <v>4.2194282913431743E-3</v>
      </c>
      <c r="F57">
        <f t="shared" si="6"/>
        <v>5.8703229743691729E-3</v>
      </c>
      <c r="G57">
        <f t="shared" si="7"/>
        <v>54578.285000000011</v>
      </c>
      <c r="H57">
        <f t="shared" si="8"/>
        <v>55527.741999999984</v>
      </c>
      <c r="I57">
        <f>MAX($B$2:B57)</f>
        <v>57459.45</v>
      </c>
      <c r="J57">
        <f t="shared" si="2"/>
        <v>-3.014299649578964E-2</v>
      </c>
      <c r="L57" s="1">
        <v>45894</v>
      </c>
      <c r="M57">
        <f t="shared" si="3"/>
        <v>55139.3</v>
      </c>
      <c r="N57">
        <f t="shared" si="4"/>
        <v>55139.3</v>
      </c>
    </row>
    <row r="58" spans="1:14" x14ac:dyDescent="0.3">
      <c r="A58" s="1">
        <v>45919</v>
      </c>
      <c r="B58">
        <v>55458.85</v>
      </c>
      <c r="C58">
        <f t="shared" si="5"/>
        <v>-4.8198867882883311E-3</v>
      </c>
      <c r="D58">
        <f t="shared" si="0"/>
        <v>-3.1442023454083408E-3</v>
      </c>
      <c r="E58">
        <f t="shared" si="1"/>
        <v>-4.8198867882883311E-3</v>
      </c>
      <c r="F58">
        <f t="shared" si="6"/>
        <v>5.9590213184419353E-3</v>
      </c>
      <c r="G58">
        <f t="shared" si="7"/>
        <v>54563.455000000002</v>
      </c>
      <c r="H58">
        <f t="shared" si="8"/>
        <v>55492.647999999986</v>
      </c>
      <c r="I58">
        <f>MAX($B$2:B58)</f>
        <v>57459.45</v>
      </c>
      <c r="J58">
        <f t="shared" si="2"/>
        <v>-3.4817597453508493E-2</v>
      </c>
      <c r="L58" s="1">
        <v>45895</v>
      </c>
      <c r="M58">
        <f t="shared" si="3"/>
        <v>54450.45</v>
      </c>
      <c r="N58">
        <f t="shared" si="4"/>
        <v>54450.45</v>
      </c>
    </row>
    <row r="59" spans="1:14" x14ac:dyDescent="0.3">
      <c r="A59" s="1">
        <v>45922</v>
      </c>
      <c r="B59">
        <v>55284.75</v>
      </c>
      <c r="C59">
        <f t="shared" si="5"/>
        <v>-3.1392645177460146E-3</v>
      </c>
      <c r="D59">
        <f t="shared" si="0"/>
        <v>4.0615790370076678E-3</v>
      </c>
      <c r="E59">
        <f t="shared" si="1"/>
        <v>-3.1392645177460146E-3</v>
      </c>
      <c r="F59">
        <f t="shared" si="6"/>
        <v>5.4898118442128626E-3</v>
      </c>
      <c r="G59">
        <f t="shared" si="7"/>
        <v>54570.222499999996</v>
      </c>
      <c r="H59">
        <f t="shared" si="8"/>
        <v>55459.222999999991</v>
      </c>
      <c r="I59">
        <f>MAX($B$2:B59)</f>
        <v>57459.45</v>
      </c>
      <c r="J59">
        <f t="shared" si="2"/>
        <v>-3.7847560322975544E-2</v>
      </c>
      <c r="L59" s="1">
        <v>45896</v>
      </c>
      <c r="M59" t="str">
        <f t="shared" si="3"/>
        <v/>
      </c>
      <c r="N59">
        <f t="shared" si="4"/>
        <v>54450.45</v>
      </c>
    </row>
    <row r="60" spans="1:14" x14ac:dyDescent="0.3">
      <c r="A60" s="1">
        <v>45923</v>
      </c>
      <c r="B60">
        <v>55509.75</v>
      </c>
      <c r="C60">
        <f t="shared" si="5"/>
        <v>4.0698384274144321E-3</v>
      </c>
      <c r="D60">
        <f t="shared" si="0"/>
        <v>-7.0188413110884038E-3</v>
      </c>
      <c r="E60">
        <f t="shared" si="1"/>
        <v>4.0698384274144321E-3</v>
      </c>
      <c r="F60">
        <f t="shared" si="6"/>
        <v>5.5552461999005438E-3</v>
      </c>
      <c r="G60">
        <f t="shared" si="7"/>
        <v>54588.744999999995</v>
      </c>
      <c r="H60">
        <f t="shared" si="8"/>
        <v>55434.323999999993</v>
      </c>
      <c r="I60">
        <f>MAX($B$2:B60)</f>
        <v>57459.45</v>
      </c>
      <c r="J60">
        <f t="shared" si="2"/>
        <v>-3.3931755350947446E-2</v>
      </c>
      <c r="L60" s="1">
        <v>45897</v>
      </c>
      <c r="M60">
        <f t="shared" si="3"/>
        <v>53820.35</v>
      </c>
      <c r="N60">
        <f t="shared" si="4"/>
        <v>53820.35</v>
      </c>
    </row>
    <row r="61" spans="1:14" x14ac:dyDescent="0.3">
      <c r="A61" s="1">
        <v>45924</v>
      </c>
      <c r="B61">
        <v>55121.5</v>
      </c>
      <c r="C61">
        <f t="shared" si="5"/>
        <v>-6.9942667729543011E-3</v>
      </c>
      <c r="D61">
        <f t="shared" si="0"/>
        <v>-2.6394753815328791E-3</v>
      </c>
      <c r="E61">
        <f t="shared" si="1"/>
        <v>-6.9942667729543011E-3</v>
      </c>
      <c r="F61">
        <f t="shared" si="6"/>
        <v>5.02343440471809E-3</v>
      </c>
      <c r="G61">
        <f t="shared" si="7"/>
        <v>54622.297500000001</v>
      </c>
      <c r="H61">
        <f t="shared" si="8"/>
        <v>55401.447</v>
      </c>
      <c r="I61">
        <f>MAX($B$2:B61)</f>
        <v>57459.45</v>
      </c>
      <c r="J61">
        <f t="shared" si="2"/>
        <v>-4.0688694374902599E-2</v>
      </c>
      <c r="L61" s="1">
        <v>45898</v>
      </c>
      <c r="M61">
        <f t="shared" si="3"/>
        <v>53655.65</v>
      </c>
      <c r="N61">
        <f t="shared" si="4"/>
        <v>53655.65</v>
      </c>
    </row>
    <row r="62" spans="1:14" x14ac:dyDescent="0.3">
      <c r="A62" s="1">
        <v>45925</v>
      </c>
      <c r="B62">
        <v>54976.2</v>
      </c>
      <c r="C62">
        <f t="shared" si="5"/>
        <v>-2.635995029162902E-3</v>
      </c>
      <c r="D62">
        <f t="shared" si="0"/>
        <v>-1.0732001669056286E-2</v>
      </c>
      <c r="E62">
        <f t="shared" si="1"/>
        <v>-2.635995029162902E-3</v>
      </c>
      <c r="F62">
        <f t="shared" si="6"/>
        <v>4.2577464428174769E-3</v>
      </c>
      <c r="G62">
        <f t="shared" si="7"/>
        <v>54680.090000000004</v>
      </c>
      <c r="H62">
        <f t="shared" si="8"/>
        <v>55360.837999999996</v>
      </c>
      <c r="I62">
        <f>MAX($B$2:B62)</f>
        <v>57459.45</v>
      </c>
      <c r="J62">
        <f t="shared" si="2"/>
        <v>-4.3217434207950128E-2</v>
      </c>
      <c r="L62" s="1">
        <v>45899</v>
      </c>
      <c r="M62" t="str">
        <f t="shared" si="3"/>
        <v/>
      </c>
      <c r="N62">
        <f t="shared" si="4"/>
        <v>53655.65</v>
      </c>
    </row>
    <row r="63" spans="1:14" x14ac:dyDescent="0.3">
      <c r="A63" s="1">
        <v>45926</v>
      </c>
      <c r="B63">
        <v>54389.35</v>
      </c>
      <c r="C63">
        <f t="shared" si="5"/>
        <v>-1.0674619198853296E-2</v>
      </c>
      <c r="D63">
        <f t="shared" si="0"/>
        <v>1.3164865404341379E-3</v>
      </c>
      <c r="E63">
        <f t="shared" si="1"/>
        <v>-1.0674619198853296E-2</v>
      </c>
      <c r="F63">
        <f t="shared" si="6"/>
        <v>4.9019293606330609E-3</v>
      </c>
      <c r="G63">
        <f t="shared" si="7"/>
        <v>54716.775000000001</v>
      </c>
      <c r="H63">
        <f t="shared" si="8"/>
        <v>55305.246000000006</v>
      </c>
      <c r="I63">
        <f>MAX($B$2:B63)</f>
        <v>57459.45</v>
      </c>
      <c r="J63">
        <f t="shared" si="2"/>
        <v>-5.343072375388206E-2</v>
      </c>
      <c r="L63" s="1">
        <v>45900</v>
      </c>
      <c r="M63" t="str">
        <f t="shared" si="3"/>
        <v/>
      </c>
      <c r="N63">
        <f t="shared" si="4"/>
        <v>53655.65</v>
      </c>
    </row>
    <row r="64" spans="1:14" x14ac:dyDescent="0.3">
      <c r="A64" s="1">
        <v>45929</v>
      </c>
      <c r="B64">
        <v>54461</v>
      </c>
      <c r="C64">
        <f t="shared" si="5"/>
        <v>1.3173534892401079E-3</v>
      </c>
      <c r="D64">
        <f t="shared" si="0"/>
        <v>3.2054115166547225E-3</v>
      </c>
      <c r="E64">
        <f t="shared" si="1"/>
        <v>1.3173534892401079E-3</v>
      </c>
      <c r="F64">
        <f t="shared" si="6"/>
        <v>4.7240285247466905E-3</v>
      </c>
      <c r="G64">
        <f t="shared" si="7"/>
        <v>54739.702499999992</v>
      </c>
      <c r="H64">
        <f t="shared" si="8"/>
        <v>55257.89</v>
      </c>
      <c r="I64">
        <f>MAX($B$2:B64)</f>
        <v>57459.45</v>
      </c>
      <c r="J64">
        <f t="shared" si="2"/>
        <v>-5.2183757415011758E-2</v>
      </c>
      <c r="L64" s="1">
        <v>45901</v>
      </c>
      <c r="M64">
        <f t="shared" si="3"/>
        <v>54002.45</v>
      </c>
      <c r="N64">
        <f t="shared" si="4"/>
        <v>54002.45</v>
      </c>
    </row>
    <row r="65" spans="1:14" x14ac:dyDescent="0.3">
      <c r="A65" s="1">
        <v>45930</v>
      </c>
      <c r="B65">
        <v>54635.85</v>
      </c>
      <c r="C65">
        <f t="shared" si="5"/>
        <v>3.2105543416389441E-3</v>
      </c>
      <c r="D65">
        <f t="shared" si="0"/>
        <v>1.2949360737409479E-2</v>
      </c>
      <c r="E65">
        <f t="shared" si="1"/>
        <v>3.2105543416389441E-3</v>
      </c>
      <c r="F65">
        <f t="shared" si="6"/>
        <v>4.4935396428756966E-3</v>
      </c>
      <c r="G65">
        <f t="shared" si="7"/>
        <v>54788.444999999992</v>
      </c>
      <c r="H65">
        <f t="shared" si="8"/>
        <v>55224.947000000015</v>
      </c>
      <c r="I65">
        <f>MAX($B$2:B65)</f>
        <v>57459.45</v>
      </c>
      <c r="J65">
        <f t="shared" si="2"/>
        <v>-4.9140741862304611E-2</v>
      </c>
      <c r="L65" s="1">
        <v>45902</v>
      </c>
      <c r="M65">
        <f t="shared" si="3"/>
        <v>53661</v>
      </c>
      <c r="N65">
        <f t="shared" si="4"/>
        <v>53661</v>
      </c>
    </row>
    <row r="66" spans="1:14" x14ac:dyDescent="0.3">
      <c r="A66" s="1">
        <v>45931</v>
      </c>
      <c r="B66">
        <v>55347.95</v>
      </c>
      <c r="C66">
        <f t="shared" si="5"/>
        <v>1.303356678810705E-2</v>
      </c>
      <c r="D66">
        <f t="shared" si="0"/>
        <v>4.3502158074581318E-3</v>
      </c>
      <c r="E66">
        <f t="shared" si="1"/>
        <v>1.303356678810705E-2</v>
      </c>
      <c r="F66">
        <f t="shared" si="6"/>
        <v>5.0243551964046316E-3</v>
      </c>
      <c r="G66">
        <f t="shared" si="7"/>
        <v>54852.464999999989</v>
      </c>
      <c r="H66">
        <f t="shared" si="8"/>
        <v>55192.851000000017</v>
      </c>
      <c r="I66">
        <f>MAX($B$2:B66)</f>
        <v>57459.45</v>
      </c>
      <c r="J66">
        <f t="shared" si="2"/>
        <v>-3.6747654215277037E-2</v>
      </c>
      <c r="L66" s="1">
        <v>45903</v>
      </c>
      <c r="M66">
        <f t="shared" si="3"/>
        <v>54067.55</v>
      </c>
      <c r="N66">
        <f t="shared" si="4"/>
        <v>54067.55</v>
      </c>
    </row>
    <row r="67" spans="1:14" x14ac:dyDescent="0.3">
      <c r="A67" s="1">
        <v>45933</v>
      </c>
      <c r="B67">
        <v>55589.25</v>
      </c>
      <c r="C67">
        <f t="shared" si="5"/>
        <v>4.3596917320334883E-3</v>
      </c>
      <c r="D67">
        <f t="shared" ref="D67:D130" si="9">LN(B68/B67)</f>
        <v>9.2324243155702587E-3</v>
      </c>
      <c r="E67">
        <f t="shared" ref="E67:E130" si="10">C67</f>
        <v>4.3596917320334883E-3</v>
      </c>
      <c r="F67">
        <f t="shared" si="6"/>
        <v>5.0646154561429122E-3</v>
      </c>
      <c r="G67">
        <f t="shared" si="7"/>
        <v>54928.154999999984</v>
      </c>
      <c r="H67">
        <f t="shared" si="8"/>
        <v>55169.516000000018</v>
      </c>
      <c r="I67">
        <f>MAX($B$2:B67)</f>
        <v>57459.45</v>
      </c>
      <c r="J67">
        <f t="shared" ref="J67:J130" si="11">(B67-I67)/I67</f>
        <v>-3.2548170927497518E-2</v>
      </c>
      <c r="L67" s="1">
        <v>45904</v>
      </c>
      <c r="M67">
        <f t="shared" ref="M67:M130" si="12">_xlfn.XLOOKUP(L67,A:A,B:B,"")</f>
        <v>54075.45</v>
      </c>
      <c r="N67">
        <f t="shared" ref="N67:N130" si="13">IF(M67="",N66,M67)</f>
        <v>54075.45</v>
      </c>
    </row>
    <row r="68" spans="1:14" x14ac:dyDescent="0.3">
      <c r="A68" s="1">
        <v>45936</v>
      </c>
      <c r="B68">
        <v>56104.85</v>
      </c>
      <c r="C68">
        <f t="shared" si="5"/>
        <v>9.2751746066010703E-3</v>
      </c>
      <c r="D68">
        <f t="shared" si="9"/>
        <v>2.394428270628737E-3</v>
      </c>
      <c r="E68">
        <f t="shared" si="10"/>
        <v>9.2751746066010703E-3</v>
      </c>
      <c r="F68">
        <f t="shared" si="6"/>
        <v>5.3432579226907889E-3</v>
      </c>
      <c r="G68">
        <f t="shared" si="7"/>
        <v>55027.67</v>
      </c>
      <c r="H68">
        <f t="shared" si="8"/>
        <v>55147.404000000024</v>
      </c>
      <c r="I68">
        <f>MAX($B$2:B68)</f>
        <v>57459.45</v>
      </c>
      <c r="J68">
        <f t="shared" si="11"/>
        <v>-2.3574886289374482E-2</v>
      </c>
      <c r="L68" s="1">
        <v>45905</v>
      </c>
      <c r="M68">
        <f t="shared" si="12"/>
        <v>54114.55</v>
      </c>
      <c r="N68">
        <f t="shared" si="13"/>
        <v>54114.55</v>
      </c>
    </row>
    <row r="69" spans="1:14" x14ac:dyDescent="0.3">
      <c r="A69" s="1">
        <v>45937</v>
      </c>
      <c r="B69">
        <v>56239.35</v>
      </c>
      <c r="C69">
        <f t="shared" ref="C69:C132" si="14">(B69-B68)/B68</f>
        <v>2.3972972033612068E-3</v>
      </c>
      <c r="D69">
        <f t="shared" si="9"/>
        <v>-3.9391593246285101E-3</v>
      </c>
      <c r="E69">
        <f t="shared" si="10"/>
        <v>2.3972972033612068E-3</v>
      </c>
      <c r="F69">
        <f t="shared" si="6"/>
        <v>5.3434441757652159E-3</v>
      </c>
      <c r="G69">
        <f t="shared" si="7"/>
        <v>55130.292499999996</v>
      </c>
      <c r="H69">
        <f t="shared" si="8"/>
        <v>55130.870000000017</v>
      </c>
      <c r="I69">
        <f>MAX($B$2:B69)</f>
        <v>57459.45</v>
      </c>
      <c r="J69">
        <f t="shared" si="11"/>
        <v>-2.1234105094984353E-2</v>
      </c>
      <c r="L69" s="1">
        <v>45906</v>
      </c>
      <c r="M69" t="str">
        <f t="shared" si="12"/>
        <v/>
      </c>
      <c r="N69">
        <f t="shared" si="13"/>
        <v>54114.55</v>
      </c>
    </row>
    <row r="70" spans="1:14" x14ac:dyDescent="0.3">
      <c r="A70" s="1">
        <v>45938</v>
      </c>
      <c r="B70">
        <v>56018.25</v>
      </c>
      <c r="C70">
        <f t="shared" si="14"/>
        <v>-3.9314110138185905E-3</v>
      </c>
      <c r="D70">
        <f t="shared" si="9"/>
        <v>3.0977573178842827E-3</v>
      </c>
      <c r="E70">
        <f t="shared" si="10"/>
        <v>-3.9314110138185905E-3</v>
      </c>
      <c r="F70">
        <f t="shared" si="6"/>
        <v>5.4862409405486657E-3</v>
      </c>
      <c r="G70">
        <f t="shared" si="7"/>
        <v>55220.399999999987</v>
      </c>
      <c r="H70">
        <f t="shared" si="8"/>
        <v>55120.657000000021</v>
      </c>
      <c r="I70">
        <f>MAX($B$2:B70)</f>
        <v>57459.45</v>
      </c>
      <c r="J70">
        <f t="shared" si="11"/>
        <v>-2.5082036114163941E-2</v>
      </c>
      <c r="L70" s="1">
        <v>45907</v>
      </c>
      <c r="M70" t="str">
        <f t="shared" si="12"/>
        <v/>
      </c>
      <c r="N70">
        <f t="shared" si="13"/>
        <v>54114.55</v>
      </c>
    </row>
    <row r="71" spans="1:14" x14ac:dyDescent="0.3">
      <c r="A71" s="1">
        <v>45939</v>
      </c>
      <c r="B71">
        <v>56192.05</v>
      </c>
      <c r="C71">
        <f t="shared" si="14"/>
        <v>3.1025603263222772E-3</v>
      </c>
      <c r="D71">
        <f t="shared" si="9"/>
        <v>7.4059440392966426E-3</v>
      </c>
      <c r="E71">
        <f t="shared" si="10"/>
        <v>3.1025603263222772E-3</v>
      </c>
      <c r="F71">
        <f t="shared" si="6"/>
        <v>5.4112683297710823E-3</v>
      </c>
      <c r="G71">
        <f t="shared" si="7"/>
        <v>55303.202499999992</v>
      </c>
      <c r="H71">
        <f t="shared" si="8"/>
        <v>55122.800000000017</v>
      </c>
      <c r="I71">
        <f>MAX($B$2:B71)</f>
        <v>57459.45</v>
      </c>
      <c r="J71">
        <f t="shared" si="11"/>
        <v>-2.2057294317992849E-2</v>
      </c>
      <c r="L71" s="1">
        <v>45908</v>
      </c>
      <c r="M71">
        <f t="shared" si="12"/>
        <v>54186.9</v>
      </c>
      <c r="N71">
        <f t="shared" si="13"/>
        <v>54186.9</v>
      </c>
    </row>
    <row r="72" spans="1:14" x14ac:dyDescent="0.3">
      <c r="A72" s="1">
        <v>45940</v>
      </c>
      <c r="B72">
        <v>56609.75</v>
      </c>
      <c r="C72">
        <f t="shared" si="14"/>
        <v>7.4334358685970176E-3</v>
      </c>
      <c r="D72">
        <f t="shared" si="9"/>
        <v>2.6935194526773895E-4</v>
      </c>
      <c r="E72">
        <f t="shared" si="10"/>
        <v>7.4334358685970176E-3</v>
      </c>
      <c r="F72">
        <f t="shared" si="6"/>
        <v>5.5614026853908378E-3</v>
      </c>
      <c r="G72">
        <f t="shared" si="7"/>
        <v>55400.209999999985</v>
      </c>
      <c r="H72">
        <f t="shared" si="8"/>
        <v>55130.555000000022</v>
      </c>
      <c r="I72">
        <f>MAX($B$2:B72)</f>
        <v>57459.45</v>
      </c>
      <c r="J72">
        <f t="shared" si="11"/>
        <v>-1.4787819932143401E-2</v>
      </c>
      <c r="L72" s="1">
        <v>45909</v>
      </c>
      <c r="M72">
        <f t="shared" si="12"/>
        <v>54216.1</v>
      </c>
      <c r="N72">
        <f t="shared" si="13"/>
        <v>54216.1</v>
      </c>
    </row>
    <row r="73" spans="1:14" x14ac:dyDescent="0.3">
      <c r="A73" s="1">
        <v>45943</v>
      </c>
      <c r="B73">
        <v>56625</v>
      </c>
      <c r="C73">
        <f t="shared" si="14"/>
        <v>2.6938822376004133E-4</v>
      </c>
      <c r="D73">
        <f t="shared" si="9"/>
        <v>-2.2727794832138417E-3</v>
      </c>
      <c r="E73">
        <f t="shared" si="10"/>
        <v>2.6938822376004133E-4</v>
      </c>
      <c r="F73">
        <f t="shared" si="6"/>
        <v>5.5673827809784365E-3</v>
      </c>
      <c r="G73">
        <f t="shared" si="7"/>
        <v>55490.994999999995</v>
      </c>
      <c r="H73">
        <f t="shared" si="8"/>
        <v>55140.041000000012</v>
      </c>
      <c r="I73">
        <f>MAX($B$2:B73)</f>
        <v>57459.45</v>
      </c>
      <c r="J73">
        <f t="shared" si="11"/>
        <v>-1.4522415372928163E-2</v>
      </c>
      <c r="L73" s="1">
        <v>45910</v>
      </c>
      <c r="M73">
        <f t="shared" si="12"/>
        <v>54536</v>
      </c>
      <c r="N73">
        <f t="shared" si="13"/>
        <v>54536</v>
      </c>
    </row>
    <row r="74" spans="1:14" x14ac:dyDescent="0.3">
      <c r="A74" s="1">
        <v>45944</v>
      </c>
      <c r="B74">
        <v>56496.45</v>
      </c>
      <c r="C74">
        <f t="shared" si="14"/>
        <v>-2.2701986754967403E-3</v>
      </c>
      <c r="D74">
        <f t="shared" si="9"/>
        <v>5.3567608421912927E-3</v>
      </c>
      <c r="E74">
        <f t="shared" si="10"/>
        <v>-2.2701986754967403E-3</v>
      </c>
      <c r="F74">
        <f t="shared" si="6"/>
        <v>5.6325979019491009E-3</v>
      </c>
      <c r="G74">
        <f t="shared" si="7"/>
        <v>55571.424999999988</v>
      </c>
      <c r="H74">
        <f t="shared" si="8"/>
        <v>55150.731000000014</v>
      </c>
      <c r="I74">
        <f>MAX($B$2:B74)</f>
        <v>57459.45</v>
      </c>
      <c r="J74">
        <f t="shared" si="11"/>
        <v>-1.6759645280280268E-2</v>
      </c>
      <c r="L74" s="1">
        <v>45911</v>
      </c>
      <c r="M74">
        <f t="shared" si="12"/>
        <v>54669.599999999999</v>
      </c>
      <c r="N74">
        <f t="shared" si="13"/>
        <v>54669.599999999999</v>
      </c>
    </row>
    <row r="75" spans="1:14" x14ac:dyDescent="0.3">
      <c r="A75" s="1">
        <v>45945</v>
      </c>
      <c r="B75">
        <v>56799.9</v>
      </c>
      <c r="C75">
        <f t="shared" si="14"/>
        <v>5.3711339385041782E-3</v>
      </c>
      <c r="D75">
        <f t="shared" si="9"/>
        <v>1.0902518158039696E-2</v>
      </c>
      <c r="E75">
        <f t="shared" si="10"/>
        <v>5.3711339385041782E-3</v>
      </c>
      <c r="F75">
        <f t="shared" si="6"/>
        <v>5.6528302126212238E-3</v>
      </c>
      <c r="G75">
        <f t="shared" si="7"/>
        <v>55654.039999999994</v>
      </c>
      <c r="H75">
        <f t="shared" si="8"/>
        <v>55174.377000000008</v>
      </c>
      <c r="I75">
        <f>MAX($B$2:B75)</f>
        <v>57459.45</v>
      </c>
      <c r="J75">
        <f t="shared" si="11"/>
        <v>-1.1478529641338294E-2</v>
      </c>
      <c r="L75" s="1">
        <v>45912</v>
      </c>
      <c r="M75">
        <f t="shared" si="12"/>
        <v>54809.3</v>
      </c>
      <c r="N75">
        <f t="shared" si="13"/>
        <v>54809.3</v>
      </c>
    </row>
    <row r="76" spans="1:14" x14ac:dyDescent="0.3">
      <c r="A76" s="1">
        <v>45946</v>
      </c>
      <c r="B76">
        <v>57422.55</v>
      </c>
      <c r="C76">
        <f t="shared" si="14"/>
        <v>1.0962167186914087E-2</v>
      </c>
      <c r="D76">
        <f t="shared" si="9"/>
        <v>5.0514325829042221E-3</v>
      </c>
      <c r="E76">
        <f t="shared" si="10"/>
        <v>1.0962167186914087E-2</v>
      </c>
      <c r="F76">
        <f t="shared" si="6"/>
        <v>5.9365211189912172E-3</v>
      </c>
      <c r="G76">
        <f t="shared" si="7"/>
        <v>55750.502499999988</v>
      </c>
      <c r="H76">
        <f t="shared" si="8"/>
        <v>55210.441000000006</v>
      </c>
      <c r="I76">
        <f>MAX($B$2:B76)</f>
        <v>57459.45</v>
      </c>
      <c r="J76">
        <f t="shared" si="11"/>
        <v>-6.4219201541250708E-4</v>
      </c>
      <c r="L76" s="1">
        <v>45913</v>
      </c>
      <c r="M76" t="str">
        <f t="shared" si="12"/>
        <v/>
      </c>
      <c r="N76">
        <f t="shared" si="13"/>
        <v>54809.3</v>
      </c>
    </row>
    <row r="77" spans="1:14" x14ac:dyDescent="0.3">
      <c r="A77" s="1">
        <v>45947</v>
      </c>
      <c r="B77">
        <v>57713.35</v>
      </c>
      <c r="C77">
        <f t="shared" si="14"/>
        <v>5.0642125785078443E-3</v>
      </c>
      <c r="D77">
        <f t="shared" si="9"/>
        <v>5.526744670119722E-3</v>
      </c>
      <c r="E77">
        <f t="shared" si="10"/>
        <v>5.0642125785078443E-3</v>
      </c>
      <c r="F77">
        <f t="shared" si="6"/>
        <v>5.9570689882212568E-3</v>
      </c>
      <c r="G77">
        <f t="shared" si="7"/>
        <v>55849.797500000001</v>
      </c>
      <c r="H77">
        <f t="shared" si="8"/>
        <v>55257.503000000019</v>
      </c>
      <c r="I77">
        <f>MAX($B$2:B77)</f>
        <v>57713.35</v>
      </c>
      <c r="J77">
        <f t="shared" si="11"/>
        <v>0</v>
      </c>
      <c r="L77" s="1">
        <v>45914</v>
      </c>
      <c r="M77" t="str">
        <f t="shared" si="12"/>
        <v/>
      </c>
      <c r="N77">
        <f t="shared" si="13"/>
        <v>54809.3</v>
      </c>
    </row>
    <row r="78" spans="1:14" x14ac:dyDescent="0.3">
      <c r="A78" s="1">
        <v>45950</v>
      </c>
      <c r="B78">
        <v>58033.2</v>
      </c>
      <c r="C78">
        <f t="shared" si="14"/>
        <v>5.5420452980116134E-3</v>
      </c>
      <c r="D78">
        <f t="shared" si="9"/>
        <v>-4.4811980026084102E-4</v>
      </c>
      <c r="E78">
        <f t="shared" si="10"/>
        <v>5.5420452980116134E-3</v>
      </c>
      <c r="F78">
        <f t="shared" si="6"/>
        <v>5.8101888755629598E-3</v>
      </c>
      <c r="G78">
        <f t="shared" si="7"/>
        <v>55978.514999999999</v>
      </c>
      <c r="H78">
        <f t="shared" si="8"/>
        <v>55309.94400000001</v>
      </c>
      <c r="I78">
        <f>MAX($B$2:B78)</f>
        <v>58033.2</v>
      </c>
      <c r="J78">
        <f t="shared" si="11"/>
        <v>0</v>
      </c>
      <c r="L78" s="1">
        <v>45915</v>
      </c>
      <c r="M78">
        <f t="shared" si="12"/>
        <v>54887.85</v>
      </c>
      <c r="N78">
        <f t="shared" si="13"/>
        <v>54887.85</v>
      </c>
    </row>
    <row r="79" spans="1:14" x14ac:dyDescent="0.3">
      <c r="A79" s="1">
        <v>45951</v>
      </c>
      <c r="B79">
        <v>58007.199999999997</v>
      </c>
      <c r="C79">
        <f t="shared" si="14"/>
        <v>-4.4801940957934426E-4</v>
      </c>
      <c r="D79">
        <f t="shared" si="9"/>
        <v>1.2206547997647736E-3</v>
      </c>
      <c r="E79">
        <f t="shared" si="10"/>
        <v>-4.4801940957934426E-4</v>
      </c>
      <c r="F79">
        <f t="shared" si="6"/>
        <v>5.7132899466220393E-3</v>
      </c>
      <c r="G79">
        <f t="shared" si="7"/>
        <v>56114.637499999997</v>
      </c>
      <c r="H79">
        <f t="shared" si="8"/>
        <v>55359.665000000015</v>
      </c>
      <c r="I79">
        <f>MAX($B$2:B79)</f>
        <v>58033.2</v>
      </c>
      <c r="J79">
        <f t="shared" si="11"/>
        <v>-4.4801940957934426E-4</v>
      </c>
      <c r="L79" s="1">
        <v>45916</v>
      </c>
      <c r="M79">
        <f t="shared" si="12"/>
        <v>55147.6</v>
      </c>
      <c r="N79">
        <f t="shared" si="13"/>
        <v>55147.6</v>
      </c>
    </row>
    <row r="80" spans="1:14" x14ac:dyDescent="0.3">
      <c r="A80" s="1">
        <v>45953</v>
      </c>
      <c r="B80">
        <v>58078.05</v>
      </c>
      <c r="C80">
        <f t="shared" si="14"/>
        <v>1.2214001020563968E-3</v>
      </c>
      <c r="D80">
        <f t="shared" si="9"/>
        <v>-6.5375544917308376E-3</v>
      </c>
      <c r="E80">
        <f t="shared" si="10"/>
        <v>1.2214001020563968E-3</v>
      </c>
      <c r="F80">
        <f t="shared" si="6"/>
        <v>5.7059529923698619E-3</v>
      </c>
      <c r="G80">
        <f t="shared" si="7"/>
        <v>56243.052500000005</v>
      </c>
      <c r="H80">
        <f t="shared" si="8"/>
        <v>55421.128000000019</v>
      </c>
      <c r="I80">
        <f>MAX($B$2:B80)</f>
        <v>58078.05</v>
      </c>
      <c r="J80">
        <f t="shared" si="11"/>
        <v>0</v>
      </c>
      <c r="L80" s="1">
        <v>45917</v>
      </c>
      <c r="M80">
        <f t="shared" si="12"/>
        <v>55493.3</v>
      </c>
      <c r="N80">
        <f t="shared" si="13"/>
        <v>55493.3</v>
      </c>
    </row>
    <row r="81" spans="1:14" x14ac:dyDescent="0.3">
      <c r="A81" s="1">
        <v>45954</v>
      </c>
      <c r="B81">
        <v>57699.6</v>
      </c>
      <c r="C81">
        <f t="shared" si="14"/>
        <v>-6.5162311751170076E-3</v>
      </c>
      <c r="D81">
        <f t="shared" si="9"/>
        <v>7.160659485284532E-3</v>
      </c>
      <c r="E81">
        <f t="shared" si="10"/>
        <v>-6.5162311751170076E-3</v>
      </c>
      <c r="F81">
        <f t="shared" si="6"/>
        <v>5.6679271443361243E-3</v>
      </c>
      <c r="G81">
        <f t="shared" si="7"/>
        <v>56371.957499999997</v>
      </c>
      <c r="H81">
        <f t="shared" si="8"/>
        <v>55464.905000000006</v>
      </c>
      <c r="I81">
        <f>MAX($B$2:B81)</f>
        <v>58078.05</v>
      </c>
      <c r="J81">
        <f t="shared" si="11"/>
        <v>-6.5162311751170076E-3</v>
      </c>
      <c r="L81" s="1">
        <v>45918</v>
      </c>
      <c r="M81">
        <f t="shared" si="12"/>
        <v>55727.45</v>
      </c>
      <c r="N81">
        <f t="shared" si="13"/>
        <v>55727.45</v>
      </c>
    </row>
    <row r="82" spans="1:14" x14ac:dyDescent="0.3">
      <c r="A82" s="1">
        <v>45957</v>
      </c>
      <c r="B82">
        <v>58114.25</v>
      </c>
      <c r="C82">
        <f t="shared" si="14"/>
        <v>7.1863583109761844E-3</v>
      </c>
      <c r="D82">
        <f t="shared" si="9"/>
        <v>1.7166928701693638E-3</v>
      </c>
      <c r="E82">
        <f t="shared" si="10"/>
        <v>7.1863583109761844E-3</v>
      </c>
      <c r="F82">
        <f t="shared" si="6"/>
        <v>5.6440874281145073E-3</v>
      </c>
      <c r="G82">
        <f t="shared" si="7"/>
        <v>56528.86</v>
      </c>
      <c r="H82">
        <f t="shared" si="8"/>
        <v>55526.316000000013</v>
      </c>
      <c r="I82">
        <f>MAX($B$2:B82)</f>
        <v>58114.25</v>
      </c>
      <c r="J82">
        <f t="shared" si="11"/>
        <v>0</v>
      </c>
      <c r="L82" s="1">
        <v>45919</v>
      </c>
      <c r="M82">
        <f t="shared" si="12"/>
        <v>55458.85</v>
      </c>
      <c r="N82">
        <f t="shared" si="13"/>
        <v>55458.85</v>
      </c>
    </row>
    <row r="83" spans="1:14" x14ac:dyDescent="0.3">
      <c r="A83" s="1">
        <v>45958</v>
      </c>
      <c r="B83">
        <v>58214.1</v>
      </c>
      <c r="C83">
        <f t="shared" si="14"/>
        <v>1.7181672309287059E-3</v>
      </c>
      <c r="D83">
        <f t="shared" si="9"/>
        <v>2.9356960037710531E-3</v>
      </c>
      <c r="E83">
        <f t="shared" si="10"/>
        <v>1.7181672309287059E-3</v>
      </c>
      <c r="F83">
        <f t="shared" si="6"/>
        <v>4.7389717491258679E-3</v>
      </c>
      <c r="G83">
        <f t="shared" si="7"/>
        <v>56720.097499999996</v>
      </c>
      <c r="H83">
        <f t="shared" si="8"/>
        <v>55586.969000000019</v>
      </c>
      <c r="I83">
        <f>MAX($B$2:B83)</f>
        <v>58214.1</v>
      </c>
      <c r="J83">
        <f t="shared" si="11"/>
        <v>0</v>
      </c>
      <c r="L83" s="1">
        <v>45920</v>
      </c>
      <c r="M83" t="str">
        <f t="shared" si="12"/>
        <v/>
      </c>
      <c r="N83">
        <f t="shared" si="13"/>
        <v>55458.85</v>
      </c>
    </row>
    <row r="84" spans="1:14" x14ac:dyDescent="0.3">
      <c r="A84" s="1">
        <v>45959</v>
      </c>
      <c r="B84">
        <v>58385.25</v>
      </c>
      <c r="C84">
        <f t="shared" si="14"/>
        <v>2.9400093791710508E-3</v>
      </c>
      <c r="D84">
        <f t="shared" si="9"/>
        <v>-6.084215704815165E-3</v>
      </c>
      <c r="E84">
        <f t="shared" si="10"/>
        <v>2.9400093791710508E-3</v>
      </c>
      <c r="F84">
        <f t="shared" si="6"/>
        <v>4.7162014849472956E-3</v>
      </c>
      <c r="G84">
        <f t="shared" si="7"/>
        <v>56916.31</v>
      </c>
      <c r="H84">
        <f t="shared" si="8"/>
        <v>55647.837000000021</v>
      </c>
      <c r="I84">
        <f>MAX($B$2:B84)</f>
        <v>58385.25</v>
      </c>
      <c r="J84">
        <f t="shared" si="11"/>
        <v>0</v>
      </c>
      <c r="L84" s="1">
        <v>45921</v>
      </c>
      <c r="M84" t="str">
        <f t="shared" si="12"/>
        <v/>
      </c>
      <c r="N84">
        <f t="shared" si="13"/>
        <v>55458.85</v>
      </c>
    </row>
    <row r="85" spans="1:14" x14ac:dyDescent="0.3">
      <c r="A85" s="1">
        <v>45960</v>
      </c>
      <c r="B85">
        <v>58031.1</v>
      </c>
      <c r="C85">
        <f t="shared" si="14"/>
        <v>-6.0657443446761206E-3</v>
      </c>
      <c r="D85">
        <f t="shared" si="9"/>
        <v>-4.3995513399650958E-3</v>
      </c>
      <c r="E85">
        <f t="shared" si="10"/>
        <v>-6.0657443446761206E-3</v>
      </c>
      <c r="F85">
        <f t="shared" si="6"/>
        <v>5.157011379230388E-3</v>
      </c>
      <c r="G85">
        <f t="shared" si="7"/>
        <v>57086.072500000009</v>
      </c>
      <c r="H85">
        <f t="shared" si="8"/>
        <v>55693.761000000013</v>
      </c>
      <c r="I85">
        <f>MAX($B$2:B85)</f>
        <v>58385.25</v>
      </c>
      <c r="J85">
        <f t="shared" si="11"/>
        <v>-6.0657443446761206E-3</v>
      </c>
      <c r="L85" s="1">
        <v>45922</v>
      </c>
      <c r="M85">
        <f t="shared" si="12"/>
        <v>55284.75</v>
      </c>
      <c r="N85">
        <f t="shared" si="13"/>
        <v>55284.75</v>
      </c>
    </row>
    <row r="86" spans="1:14" x14ac:dyDescent="0.3">
      <c r="A86" s="1">
        <v>45961</v>
      </c>
      <c r="B86">
        <v>57776.35</v>
      </c>
      <c r="C86">
        <f t="shared" si="14"/>
        <v>-4.3898874913623903E-3</v>
      </c>
      <c r="D86">
        <f t="shared" si="9"/>
        <v>5.6110981217286967E-3</v>
      </c>
      <c r="E86">
        <f t="shared" si="10"/>
        <v>-4.3898874913623903E-3</v>
      </c>
      <c r="F86">
        <f t="shared" ref="F86:F149" si="15">_xlfn.STDEV.P(C67:C86)</f>
        <v>4.8568419988874612E-3</v>
      </c>
      <c r="G86">
        <f t="shared" ref="G86:G149" si="16">AVERAGE(B67:B86)</f>
        <v>57207.492500000008</v>
      </c>
      <c r="H86">
        <f t="shared" si="8"/>
        <v>55731.985000000015</v>
      </c>
      <c r="I86">
        <f>MAX($B$2:B86)</f>
        <v>58385.25</v>
      </c>
      <c r="J86">
        <f t="shared" si="11"/>
        <v>-1.0429003900814015E-2</v>
      </c>
      <c r="L86" s="1">
        <v>45923</v>
      </c>
      <c r="M86">
        <f t="shared" si="12"/>
        <v>55509.75</v>
      </c>
      <c r="N86">
        <f t="shared" si="13"/>
        <v>55509.75</v>
      </c>
    </row>
    <row r="87" spans="1:14" x14ac:dyDescent="0.3">
      <c r="A87" s="1">
        <v>45964</v>
      </c>
      <c r="B87">
        <v>58101.45</v>
      </c>
      <c r="C87">
        <f t="shared" si="14"/>
        <v>5.6268698178406655E-3</v>
      </c>
      <c r="D87">
        <f t="shared" si="9"/>
        <v>-4.7339612338760488E-3</v>
      </c>
      <c r="E87">
        <f t="shared" si="10"/>
        <v>5.6268698178406655E-3</v>
      </c>
      <c r="F87">
        <f t="shared" si="15"/>
        <v>4.8932392588802581E-3</v>
      </c>
      <c r="G87">
        <f t="shared" si="16"/>
        <v>57333.102499999994</v>
      </c>
      <c r="H87">
        <f t="shared" si="8"/>
        <v>55780.044000000024</v>
      </c>
      <c r="I87">
        <f>MAX($B$2:B87)</f>
        <v>58385.25</v>
      </c>
      <c r="J87">
        <f t="shared" si="11"/>
        <v>-4.8608167302529818E-3</v>
      </c>
      <c r="L87" s="1">
        <v>45924</v>
      </c>
      <c r="M87">
        <f t="shared" si="12"/>
        <v>55121.5</v>
      </c>
      <c r="N87">
        <f t="shared" si="13"/>
        <v>55121.5</v>
      </c>
    </row>
    <row r="88" spans="1:14" x14ac:dyDescent="0.3">
      <c r="A88" s="1">
        <v>45965</v>
      </c>
      <c r="B88">
        <v>57827.05</v>
      </c>
      <c r="C88">
        <f t="shared" si="14"/>
        <v>-4.7227737001399135E-3</v>
      </c>
      <c r="D88">
        <f t="shared" si="9"/>
        <v>-4.7286780150015096E-3</v>
      </c>
      <c r="E88">
        <f t="shared" si="10"/>
        <v>-4.7227737001399135E-3</v>
      </c>
      <c r="F88">
        <f t="shared" si="15"/>
        <v>4.8354394832145478E-3</v>
      </c>
      <c r="G88">
        <f t="shared" si="16"/>
        <v>57419.212500000001</v>
      </c>
      <c r="H88">
        <f t="shared" si="8"/>
        <v>55821.476000000017</v>
      </c>
      <c r="I88">
        <f>MAX($B$2:B88)</f>
        <v>58385.25</v>
      </c>
      <c r="J88">
        <f t="shared" si="11"/>
        <v>-9.5606338929780568E-3</v>
      </c>
      <c r="L88" s="1">
        <v>45925</v>
      </c>
      <c r="M88">
        <f t="shared" si="12"/>
        <v>54976.2</v>
      </c>
      <c r="N88">
        <f t="shared" si="13"/>
        <v>54976.2</v>
      </c>
    </row>
    <row r="89" spans="1:14" x14ac:dyDescent="0.3">
      <c r="A89" s="1">
        <v>45967</v>
      </c>
      <c r="B89">
        <v>57554.25</v>
      </c>
      <c r="C89">
        <f t="shared" si="14"/>
        <v>-4.7175154188222107E-3</v>
      </c>
      <c r="D89">
        <f t="shared" si="9"/>
        <v>5.5886321663272216E-3</v>
      </c>
      <c r="E89">
        <f t="shared" si="10"/>
        <v>-4.7175154188222107E-3</v>
      </c>
      <c r="F89">
        <f t="shared" si="15"/>
        <v>5.0164729054612504E-3</v>
      </c>
      <c r="G89">
        <f t="shared" si="16"/>
        <v>57484.957499999997</v>
      </c>
      <c r="H89">
        <f t="shared" si="8"/>
        <v>55869.573000000019</v>
      </c>
      <c r="I89">
        <f>MAX($B$2:B89)</f>
        <v>58385.25</v>
      </c>
      <c r="J89">
        <f t="shared" si="11"/>
        <v>-1.4233046873996428E-2</v>
      </c>
      <c r="L89" s="1">
        <v>45926</v>
      </c>
      <c r="M89">
        <f t="shared" si="12"/>
        <v>54389.35</v>
      </c>
      <c r="N89">
        <f t="shared" si="13"/>
        <v>54389.35</v>
      </c>
    </row>
    <row r="90" spans="1:14" x14ac:dyDescent="0.3">
      <c r="A90" s="1">
        <v>45968</v>
      </c>
      <c r="B90">
        <v>57876.800000000003</v>
      </c>
      <c r="C90">
        <f t="shared" si="14"/>
        <v>5.6042777032104998E-3</v>
      </c>
      <c r="D90">
        <f t="shared" si="9"/>
        <v>1.0490928899876246E-3</v>
      </c>
      <c r="E90">
        <f t="shared" si="10"/>
        <v>5.6042777032104998E-3</v>
      </c>
      <c r="F90">
        <f t="shared" si="15"/>
        <v>4.9619294723224445E-3</v>
      </c>
      <c r="G90">
        <f t="shared" si="16"/>
        <v>57577.884999999995</v>
      </c>
      <c r="H90">
        <f t="shared" si="8"/>
        <v>55924.323000000004</v>
      </c>
      <c r="I90">
        <f>MAX($B$2:B90)</f>
        <v>58385.25</v>
      </c>
      <c r="J90">
        <f t="shared" si="11"/>
        <v>-8.7085351180306164E-3</v>
      </c>
      <c r="L90" s="1">
        <v>45927</v>
      </c>
      <c r="M90" t="str">
        <f t="shared" si="12"/>
        <v/>
      </c>
      <c r="N90">
        <f t="shared" si="13"/>
        <v>54389.35</v>
      </c>
    </row>
    <row r="91" spans="1:14" x14ac:dyDescent="0.3">
      <c r="A91" s="1">
        <v>45971</v>
      </c>
      <c r="B91">
        <v>57937.55</v>
      </c>
      <c r="C91">
        <f t="shared" si="14"/>
        <v>1.0496433804218616E-3</v>
      </c>
      <c r="D91">
        <f t="shared" si="9"/>
        <v>3.4563685544062332E-3</v>
      </c>
      <c r="E91">
        <f t="shared" si="10"/>
        <v>1.0496433804218616E-3</v>
      </c>
      <c r="F91">
        <f t="shared" si="15"/>
        <v>4.9519517293431835E-3</v>
      </c>
      <c r="G91">
        <f t="shared" si="16"/>
        <v>57665.159999999996</v>
      </c>
      <c r="H91">
        <f t="shared" si="8"/>
        <v>55994.065000000002</v>
      </c>
      <c r="I91">
        <f>MAX($B$2:B91)</f>
        <v>58385.25</v>
      </c>
      <c r="J91">
        <f t="shared" si="11"/>
        <v>-7.6680325938485675E-3</v>
      </c>
      <c r="L91" s="1">
        <v>45928</v>
      </c>
      <c r="M91" t="str">
        <f t="shared" si="12"/>
        <v/>
      </c>
      <c r="N91">
        <f t="shared" si="13"/>
        <v>54389.35</v>
      </c>
    </row>
    <row r="92" spans="1:14" x14ac:dyDescent="0.3">
      <c r="A92" s="1">
        <v>45972</v>
      </c>
      <c r="B92">
        <v>58138.15</v>
      </c>
      <c r="C92">
        <f t="shared" si="14"/>
        <v>3.4623486840572055E-3</v>
      </c>
      <c r="D92">
        <f t="shared" si="9"/>
        <v>2.3451040187497853E-3</v>
      </c>
      <c r="E92">
        <f t="shared" si="10"/>
        <v>3.4623486840572055E-3</v>
      </c>
      <c r="F92">
        <f t="shared" si="15"/>
        <v>4.7887065359052449E-3</v>
      </c>
      <c r="G92">
        <f t="shared" si="16"/>
        <v>57741.579999999994</v>
      </c>
      <c r="H92">
        <f t="shared" si="8"/>
        <v>56080.421000000002</v>
      </c>
      <c r="I92">
        <f>MAX($B$2:B92)</f>
        <v>58385.25</v>
      </c>
      <c r="J92">
        <f t="shared" si="11"/>
        <v>-4.2322333123519821E-3</v>
      </c>
      <c r="L92" s="1">
        <v>45929</v>
      </c>
      <c r="M92">
        <f t="shared" si="12"/>
        <v>54461</v>
      </c>
      <c r="N92">
        <f t="shared" si="13"/>
        <v>54461</v>
      </c>
    </row>
    <row r="93" spans="1:14" x14ac:dyDescent="0.3">
      <c r="A93" s="1">
        <v>45973</v>
      </c>
      <c r="B93">
        <v>58274.65</v>
      </c>
      <c r="C93">
        <f t="shared" si="14"/>
        <v>2.3478559259281556E-3</v>
      </c>
      <c r="D93">
        <f t="shared" si="9"/>
        <v>1.8395878203091543E-3</v>
      </c>
      <c r="E93">
        <f t="shared" si="10"/>
        <v>2.3478559259281556E-3</v>
      </c>
      <c r="F93">
        <f t="shared" si="15"/>
        <v>4.7868024307832109E-3</v>
      </c>
      <c r="G93">
        <f t="shared" si="16"/>
        <v>57824.0625</v>
      </c>
      <c r="H93">
        <f t="shared" si="8"/>
        <v>56172.800999999999</v>
      </c>
      <c r="I93">
        <f>MAX($B$2:B93)</f>
        <v>58385.25</v>
      </c>
      <c r="J93">
        <f t="shared" si="11"/>
        <v>-1.8943140604861424E-3</v>
      </c>
      <c r="L93" s="1">
        <v>45930</v>
      </c>
      <c r="M93">
        <f t="shared" si="12"/>
        <v>54635.85</v>
      </c>
      <c r="N93">
        <f t="shared" si="13"/>
        <v>54635.85</v>
      </c>
    </row>
    <row r="94" spans="1:14" x14ac:dyDescent="0.3">
      <c r="A94" s="1">
        <v>45974</v>
      </c>
      <c r="B94">
        <v>58381.95</v>
      </c>
      <c r="C94">
        <f t="shared" si="14"/>
        <v>1.8412809000139104E-3</v>
      </c>
      <c r="D94">
        <f t="shared" si="9"/>
        <v>2.319942528720865E-3</v>
      </c>
      <c r="E94">
        <f t="shared" si="10"/>
        <v>1.8412809000139104E-3</v>
      </c>
      <c r="F94">
        <f t="shared" si="15"/>
        <v>4.7103688260126224E-3</v>
      </c>
      <c r="G94">
        <f t="shared" si="16"/>
        <v>57918.337500000001</v>
      </c>
      <c r="H94">
        <f t="shared" si="8"/>
        <v>56260.391000000003</v>
      </c>
      <c r="I94">
        <f>MAX($B$2:B94)</f>
        <v>58385.25</v>
      </c>
      <c r="J94">
        <f t="shared" si="11"/>
        <v>-5.6521124770432779E-5</v>
      </c>
      <c r="L94" s="1">
        <v>45931</v>
      </c>
      <c r="M94">
        <f t="shared" si="12"/>
        <v>55347.95</v>
      </c>
      <c r="N94">
        <f t="shared" si="13"/>
        <v>55347.95</v>
      </c>
    </row>
    <row r="95" spans="1:14" x14ac:dyDescent="0.3">
      <c r="A95" s="1">
        <v>45975</v>
      </c>
      <c r="B95">
        <v>58517.55</v>
      </c>
      <c r="C95">
        <f t="shared" si="14"/>
        <v>2.3226356776367666E-3</v>
      </c>
      <c r="D95">
        <f t="shared" si="9"/>
        <v>7.5783313442503494E-3</v>
      </c>
      <c r="E95">
        <f t="shared" si="10"/>
        <v>2.3226356776367666E-3</v>
      </c>
      <c r="F95">
        <f t="shared" si="15"/>
        <v>4.6363567563112267E-3</v>
      </c>
      <c r="G95">
        <f t="shared" si="16"/>
        <v>58004.220000000008</v>
      </c>
      <c r="H95">
        <f t="shared" si="8"/>
        <v>56357.52199999999</v>
      </c>
      <c r="I95">
        <f>MAX($B$2:B95)</f>
        <v>58517.55</v>
      </c>
      <c r="J95">
        <f t="shared" si="11"/>
        <v>0</v>
      </c>
      <c r="L95" s="1">
        <v>45932</v>
      </c>
      <c r="M95" t="str">
        <f t="shared" si="12"/>
        <v/>
      </c>
      <c r="N95">
        <f t="shared" si="13"/>
        <v>55347.95</v>
      </c>
    </row>
    <row r="96" spans="1:14" x14ac:dyDescent="0.3">
      <c r="A96" s="1">
        <v>45978</v>
      </c>
      <c r="B96">
        <v>58962.7</v>
      </c>
      <c r="C96">
        <f t="shared" si="14"/>
        <v>7.607119573529551E-3</v>
      </c>
      <c r="D96">
        <f t="shared" si="9"/>
        <v>-1.0766834611088635E-3</v>
      </c>
      <c r="E96">
        <f t="shared" si="10"/>
        <v>7.607119573529551E-3</v>
      </c>
      <c r="F96">
        <f t="shared" si="15"/>
        <v>4.3423917788797794E-3</v>
      </c>
      <c r="G96">
        <f t="shared" si="16"/>
        <v>58081.227500000001</v>
      </c>
      <c r="H96">
        <f t="shared" si="8"/>
        <v>56455.425000000003</v>
      </c>
      <c r="I96">
        <f>MAX($B$2:B96)</f>
        <v>58962.7</v>
      </c>
      <c r="J96">
        <f t="shared" si="11"/>
        <v>0</v>
      </c>
      <c r="L96" s="1">
        <v>45933</v>
      </c>
      <c r="M96">
        <f t="shared" si="12"/>
        <v>55589.25</v>
      </c>
      <c r="N96">
        <f t="shared" si="13"/>
        <v>55589.25</v>
      </c>
    </row>
    <row r="97" spans="1:14" x14ac:dyDescent="0.3">
      <c r="A97" s="1">
        <v>45979</v>
      </c>
      <c r="B97">
        <v>58899.25</v>
      </c>
      <c r="C97">
        <f t="shared" si="14"/>
        <v>-1.0761040454388467E-3</v>
      </c>
      <c r="D97">
        <f t="shared" si="9"/>
        <v>5.3642628798807636E-3</v>
      </c>
      <c r="E97">
        <f t="shared" si="10"/>
        <v>-1.0761040454388467E-3</v>
      </c>
      <c r="F97">
        <f t="shared" si="15"/>
        <v>4.2844638918428145E-3</v>
      </c>
      <c r="G97">
        <f t="shared" si="16"/>
        <v>58140.522500000006</v>
      </c>
      <c r="H97">
        <f t="shared" si="8"/>
        <v>56551.900999999998</v>
      </c>
      <c r="I97">
        <f>MAX($B$2:B97)</f>
        <v>58962.7</v>
      </c>
      <c r="J97">
        <f t="shared" si="11"/>
        <v>-1.0761040454388467E-3</v>
      </c>
      <c r="L97" s="1">
        <v>45934</v>
      </c>
      <c r="M97" t="str">
        <f t="shared" si="12"/>
        <v/>
      </c>
      <c r="N97">
        <f t="shared" si="13"/>
        <v>55589.25</v>
      </c>
    </row>
    <row r="98" spans="1:14" x14ac:dyDescent="0.3">
      <c r="A98" s="1">
        <v>45980</v>
      </c>
      <c r="B98">
        <v>59216.05</v>
      </c>
      <c r="C98">
        <f t="shared" si="14"/>
        <v>5.3786762989342461E-3</v>
      </c>
      <c r="D98">
        <f t="shared" si="9"/>
        <v>2.2207471356978292E-3</v>
      </c>
      <c r="E98">
        <f t="shared" si="10"/>
        <v>5.3786762989342461E-3</v>
      </c>
      <c r="F98">
        <f t="shared" si="15"/>
        <v>4.2759948116104247E-3</v>
      </c>
      <c r="G98">
        <f t="shared" si="16"/>
        <v>58199.665000000001</v>
      </c>
      <c r="H98">
        <f t="shared" si="8"/>
        <v>56653.930999999997</v>
      </c>
      <c r="I98">
        <f>MAX($B$2:B98)</f>
        <v>59216.05</v>
      </c>
      <c r="J98">
        <f t="shared" si="11"/>
        <v>0</v>
      </c>
      <c r="L98" s="1">
        <v>45935</v>
      </c>
      <c r="M98" t="str">
        <f t="shared" si="12"/>
        <v/>
      </c>
      <c r="N98">
        <f t="shared" si="13"/>
        <v>55589.25</v>
      </c>
    </row>
    <row r="99" spans="1:14" x14ac:dyDescent="0.3">
      <c r="A99" s="1">
        <v>45981</v>
      </c>
      <c r="B99">
        <v>59347.7</v>
      </c>
      <c r="C99">
        <f t="shared" si="14"/>
        <v>2.223214820981713E-3</v>
      </c>
      <c r="D99">
        <f t="shared" si="9"/>
        <v>-8.1208140039606136E-3</v>
      </c>
      <c r="E99">
        <f t="shared" si="10"/>
        <v>2.223214820981713E-3</v>
      </c>
      <c r="F99">
        <f t="shared" si="15"/>
        <v>4.2698150922659923E-3</v>
      </c>
      <c r="G99">
        <f t="shared" si="16"/>
        <v>58266.69</v>
      </c>
      <c r="H99">
        <f t="shared" si="8"/>
        <v>56757.14699999999</v>
      </c>
      <c r="I99">
        <f>MAX($B$2:B99)</f>
        <v>59347.7</v>
      </c>
      <c r="J99">
        <f t="shared" si="11"/>
        <v>0</v>
      </c>
      <c r="L99" s="1">
        <v>45936</v>
      </c>
      <c r="M99">
        <f t="shared" si="12"/>
        <v>56104.85</v>
      </c>
      <c r="N99">
        <f t="shared" si="13"/>
        <v>56104.85</v>
      </c>
    </row>
    <row r="100" spans="1:14" x14ac:dyDescent="0.3">
      <c r="A100" s="1">
        <v>45982</v>
      </c>
      <c r="B100">
        <v>58867.7</v>
      </c>
      <c r="C100">
        <f t="shared" si="14"/>
        <v>-8.0879292710585252E-3</v>
      </c>
      <c r="D100">
        <f t="shared" si="9"/>
        <v>-5.4968840339419316E-4</v>
      </c>
      <c r="E100">
        <f t="shared" si="10"/>
        <v>-8.0879292710585252E-3</v>
      </c>
      <c r="F100">
        <f t="shared" si="15"/>
        <v>4.7205201267669248E-3</v>
      </c>
      <c r="G100">
        <f t="shared" si="16"/>
        <v>58306.172500000001</v>
      </c>
      <c r="H100">
        <f t="shared" si="8"/>
        <v>56850.178999999996</v>
      </c>
      <c r="I100">
        <f>MAX($B$2:B100)</f>
        <v>59347.7</v>
      </c>
      <c r="J100">
        <f t="shared" si="11"/>
        <v>-8.0879292710585252E-3</v>
      </c>
      <c r="L100" s="1">
        <v>45937</v>
      </c>
      <c r="M100">
        <f t="shared" si="12"/>
        <v>56239.35</v>
      </c>
      <c r="N100">
        <f t="shared" si="13"/>
        <v>56239.35</v>
      </c>
    </row>
    <row r="101" spans="1:14" x14ac:dyDescent="0.3">
      <c r="A101" s="1">
        <v>45985</v>
      </c>
      <c r="B101">
        <v>58835.35</v>
      </c>
      <c r="C101">
        <f t="shared" si="14"/>
        <v>-5.4953735240205654E-4</v>
      </c>
      <c r="D101">
        <f t="shared" si="9"/>
        <v>-2.558313193132316E-4</v>
      </c>
      <c r="E101">
        <f t="shared" si="10"/>
        <v>-5.4953735240205654E-4</v>
      </c>
      <c r="F101">
        <f t="shared" si="15"/>
        <v>4.4358383072135984E-3</v>
      </c>
      <c r="G101">
        <f t="shared" si="16"/>
        <v>58362.960000000006</v>
      </c>
      <c r="H101">
        <f t="shared" si="8"/>
        <v>56936.166000000005</v>
      </c>
      <c r="I101">
        <f>MAX($B$2:B101)</f>
        <v>59347.7</v>
      </c>
      <c r="J101">
        <f t="shared" si="11"/>
        <v>-8.6330220042225483E-3</v>
      </c>
      <c r="L101" s="1">
        <v>45938</v>
      </c>
      <c r="M101">
        <f t="shared" si="12"/>
        <v>56018.25</v>
      </c>
      <c r="N101">
        <f t="shared" si="13"/>
        <v>56018.25</v>
      </c>
    </row>
    <row r="102" spans="1:14" x14ac:dyDescent="0.3">
      <c r="A102" s="1">
        <v>45986</v>
      </c>
      <c r="B102">
        <v>58820.3</v>
      </c>
      <c r="C102">
        <f t="shared" si="14"/>
        <v>-2.5579859727180402E-4</v>
      </c>
      <c r="D102">
        <f t="shared" si="9"/>
        <v>1.1960596616614695E-2</v>
      </c>
      <c r="E102">
        <f t="shared" si="10"/>
        <v>-2.5579859727180402E-4</v>
      </c>
      <c r="F102">
        <f t="shared" si="15"/>
        <v>4.2062210568437411E-3</v>
      </c>
      <c r="G102">
        <f t="shared" si="16"/>
        <v>58398.262499999997</v>
      </c>
      <c r="H102">
        <f t="shared" si="8"/>
        <v>57019.18</v>
      </c>
      <c r="I102">
        <f>MAX($B$2:B102)</f>
        <v>59347.7</v>
      </c>
      <c r="J102">
        <f t="shared" si="11"/>
        <v>-8.8866122865754564E-3</v>
      </c>
      <c r="L102" s="1">
        <v>45939</v>
      </c>
      <c r="M102">
        <f t="shared" si="12"/>
        <v>56192.05</v>
      </c>
      <c r="N102">
        <f t="shared" si="13"/>
        <v>56192.05</v>
      </c>
    </row>
    <row r="103" spans="1:14" x14ac:dyDescent="0.3">
      <c r="A103" s="1">
        <v>45987</v>
      </c>
      <c r="B103">
        <v>59528.05</v>
      </c>
      <c r="C103">
        <f t="shared" si="14"/>
        <v>1.2032410579340805E-2</v>
      </c>
      <c r="D103">
        <f t="shared" si="9"/>
        <v>3.5089858824475509E-3</v>
      </c>
      <c r="E103">
        <f t="shared" si="10"/>
        <v>1.2032410579340805E-2</v>
      </c>
      <c r="F103">
        <f t="shared" si="15"/>
        <v>4.8872874135742397E-3</v>
      </c>
      <c r="G103">
        <f t="shared" si="16"/>
        <v>58463.96</v>
      </c>
      <c r="H103">
        <f t="shared" si="8"/>
        <v>57113.555</v>
      </c>
      <c r="I103">
        <f>MAX($B$2:B103)</f>
        <v>59528.05</v>
      </c>
      <c r="J103">
        <f t="shared" si="11"/>
        <v>0</v>
      </c>
      <c r="L103" s="1">
        <v>45940</v>
      </c>
      <c r="M103">
        <f t="shared" si="12"/>
        <v>56609.75</v>
      </c>
      <c r="N103">
        <f t="shared" si="13"/>
        <v>56609.75</v>
      </c>
    </row>
    <row r="104" spans="1:14" x14ac:dyDescent="0.3">
      <c r="A104" s="1">
        <v>45988</v>
      </c>
      <c r="B104">
        <v>59737.3</v>
      </c>
      <c r="C104">
        <f t="shared" si="14"/>
        <v>3.5151495807438675E-3</v>
      </c>
      <c r="D104">
        <f t="shared" si="9"/>
        <v>2.5776215725603228E-4</v>
      </c>
      <c r="E104">
        <f t="shared" si="10"/>
        <v>3.5151495807438675E-3</v>
      </c>
      <c r="F104">
        <f t="shared" si="15"/>
        <v>4.8995382200817681E-3</v>
      </c>
      <c r="G104">
        <f t="shared" si="16"/>
        <v>58531.5625</v>
      </c>
      <c r="H104">
        <f t="shared" si="8"/>
        <v>57210.544000000002</v>
      </c>
      <c r="I104">
        <f>MAX($B$2:B104)</f>
        <v>59737.3</v>
      </c>
      <c r="J104">
        <f t="shared" si="11"/>
        <v>0</v>
      </c>
      <c r="L104" s="1">
        <v>45941</v>
      </c>
      <c r="M104" t="str">
        <f t="shared" si="12"/>
        <v/>
      </c>
      <c r="N104">
        <f t="shared" si="13"/>
        <v>56609.75</v>
      </c>
    </row>
    <row r="105" spans="1:14" x14ac:dyDescent="0.3">
      <c r="A105" s="1">
        <v>45989</v>
      </c>
      <c r="B105">
        <v>59752.7</v>
      </c>
      <c r="C105">
        <f t="shared" si="14"/>
        <v>2.5779538077539793E-4</v>
      </c>
      <c r="D105">
        <f t="shared" si="9"/>
        <v>-1.1948017920848921E-3</v>
      </c>
      <c r="E105">
        <f t="shared" si="10"/>
        <v>2.5779538077539793E-4</v>
      </c>
      <c r="F105">
        <f t="shared" si="15"/>
        <v>4.619235622668188E-3</v>
      </c>
      <c r="G105">
        <f t="shared" si="16"/>
        <v>58617.642499999994</v>
      </c>
      <c r="H105">
        <f t="shared" si="8"/>
        <v>57302.646000000008</v>
      </c>
      <c r="I105">
        <f>MAX($B$2:B105)</f>
        <v>59752.7</v>
      </c>
      <c r="J105">
        <f t="shared" si="11"/>
        <v>0</v>
      </c>
      <c r="L105" s="1">
        <v>45942</v>
      </c>
      <c r="M105" t="str">
        <f t="shared" si="12"/>
        <v/>
      </c>
      <c r="N105">
        <f t="shared" si="13"/>
        <v>56609.75</v>
      </c>
    </row>
    <row r="106" spans="1:14" x14ac:dyDescent="0.3">
      <c r="A106" s="1">
        <v>45992</v>
      </c>
      <c r="B106">
        <v>59681.35</v>
      </c>
      <c r="C106">
        <f t="shared" si="14"/>
        <v>-1.194088300612333E-3</v>
      </c>
      <c r="D106">
        <f t="shared" si="9"/>
        <v>-6.8521891590722231E-3</v>
      </c>
      <c r="E106">
        <f t="shared" si="10"/>
        <v>-1.194088300612333E-3</v>
      </c>
      <c r="F106">
        <f t="shared" si="15"/>
        <v>4.4663905903058127E-3</v>
      </c>
      <c r="G106">
        <f t="shared" si="16"/>
        <v>58712.892500000002</v>
      </c>
      <c r="H106">
        <f t="shared" si="8"/>
        <v>57386.407000000014</v>
      </c>
      <c r="I106">
        <f>MAX($B$2:B106)</f>
        <v>59752.7</v>
      </c>
      <c r="J106">
        <f t="shared" si="11"/>
        <v>-1.194088300612333E-3</v>
      </c>
      <c r="L106" s="1">
        <v>45943</v>
      </c>
      <c r="M106">
        <f t="shared" si="12"/>
        <v>56625</v>
      </c>
      <c r="N106">
        <f t="shared" si="13"/>
        <v>56625</v>
      </c>
    </row>
    <row r="107" spans="1:14" x14ac:dyDescent="0.3">
      <c r="A107" s="1">
        <v>45993</v>
      </c>
      <c r="B107">
        <v>59273.8</v>
      </c>
      <c r="C107">
        <f t="shared" si="14"/>
        <v>-6.8287664404373498E-3</v>
      </c>
      <c r="D107">
        <f t="shared" si="9"/>
        <v>1.2552473975213098E-3</v>
      </c>
      <c r="E107">
        <f t="shared" si="10"/>
        <v>-6.8287664404373498E-3</v>
      </c>
      <c r="F107">
        <f t="shared" si="15"/>
        <v>4.7269077606340304E-3</v>
      </c>
      <c r="G107">
        <f t="shared" si="16"/>
        <v>58771.510000000024</v>
      </c>
      <c r="H107">
        <f t="shared" si="8"/>
        <v>57457.334000000003</v>
      </c>
      <c r="I107">
        <f>MAX($B$2:B107)</f>
        <v>59752.7</v>
      </c>
      <c r="J107">
        <f t="shared" si="11"/>
        <v>-8.0147005909355432E-3</v>
      </c>
      <c r="L107" s="1">
        <v>45944</v>
      </c>
      <c r="M107">
        <f t="shared" si="12"/>
        <v>56496.45</v>
      </c>
      <c r="N107">
        <f t="shared" si="13"/>
        <v>56496.45</v>
      </c>
    </row>
    <row r="108" spans="1:14" x14ac:dyDescent="0.3">
      <c r="A108" s="1">
        <v>45994</v>
      </c>
      <c r="B108">
        <v>59348.25</v>
      </c>
      <c r="C108">
        <f t="shared" si="14"/>
        <v>1.2560355502768017E-3</v>
      </c>
      <c r="D108">
        <f t="shared" si="9"/>
        <v>-1.0039031684701924E-3</v>
      </c>
      <c r="E108">
        <f t="shared" si="10"/>
        <v>1.2560355502768017E-3</v>
      </c>
      <c r="F108">
        <f t="shared" si="15"/>
        <v>4.5402409323988596E-3</v>
      </c>
      <c r="G108">
        <f t="shared" si="16"/>
        <v>58847.570000000007</v>
      </c>
      <c r="H108">
        <f t="shared" si="8"/>
        <v>57535.122000000003</v>
      </c>
      <c r="I108">
        <f>MAX($B$2:B108)</f>
        <v>59752.7</v>
      </c>
      <c r="J108">
        <f t="shared" si="11"/>
        <v>-6.7687317895257807E-3</v>
      </c>
      <c r="L108" s="1">
        <v>45945</v>
      </c>
      <c r="M108">
        <f t="shared" si="12"/>
        <v>56799.9</v>
      </c>
      <c r="N108">
        <f t="shared" si="13"/>
        <v>56799.9</v>
      </c>
    </row>
    <row r="109" spans="1:14" x14ac:dyDescent="0.3">
      <c r="A109" s="1">
        <v>45995</v>
      </c>
      <c r="B109">
        <v>59288.7</v>
      </c>
      <c r="C109">
        <f t="shared" si="14"/>
        <v>-1.0033994262678835E-3</v>
      </c>
      <c r="D109">
        <f t="shared" si="9"/>
        <v>8.2055859982721555E-3</v>
      </c>
      <c r="E109">
        <f t="shared" si="10"/>
        <v>-1.0033994262678835E-3</v>
      </c>
      <c r="F109">
        <f t="shared" si="15"/>
        <v>4.3624023863985681E-3</v>
      </c>
      <c r="G109">
        <f t="shared" si="16"/>
        <v>58934.292499999996</v>
      </c>
      <c r="H109">
        <f t="shared" si="8"/>
        <v>57615.201000000008</v>
      </c>
      <c r="I109">
        <f>MAX($B$2:B109)</f>
        <v>59752.7</v>
      </c>
      <c r="J109">
        <f t="shared" si="11"/>
        <v>-7.7653394741994926E-3</v>
      </c>
      <c r="L109" s="1">
        <v>45946</v>
      </c>
      <c r="M109">
        <f t="shared" si="12"/>
        <v>57422.55</v>
      </c>
      <c r="N109">
        <f t="shared" si="13"/>
        <v>57422.55</v>
      </c>
    </row>
    <row r="110" spans="1:14" x14ac:dyDescent="0.3">
      <c r="A110" s="1">
        <v>45996</v>
      </c>
      <c r="B110">
        <v>59777.2</v>
      </c>
      <c r="C110">
        <f t="shared" si="14"/>
        <v>8.2393440908638572E-3</v>
      </c>
      <c r="D110">
        <f t="shared" si="9"/>
        <v>-9.0518049562355544E-3</v>
      </c>
      <c r="E110">
        <f t="shared" si="10"/>
        <v>8.2393440908638572E-3</v>
      </c>
      <c r="F110">
        <f t="shared" si="15"/>
        <v>4.5214111933936114E-3</v>
      </c>
      <c r="G110">
        <f t="shared" si="16"/>
        <v>59029.3125</v>
      </c>
      <c r="H110">
        <f t="shared" si="8"/>
        <v>57700.55000000001</v>
      </c>
      <c r="I110">
        <f>MAX($B$2:B110)</f>
        <v>59777.2</v>
      </c>
      <c r="J110">
        <f t="shared" si="11"/>
        <v>0</v>
      </c>
      <c r="L110" s="1">
        <v>45947</v>
      </c>
      <c r="M110">
        <f t="shared" si="12"/>
        <v>57713.35</v>
      </c>
      <c r="N110">
        <f t="shared" si="13"/>
        <v>57713.35</v>
      </c>
    </row>
    <row r="111" spans="1:14" x14ac:dyDescent="0.3">
      <c r="A111" s="1">
        <v>45999</v>
      </c>
      <c r="B111">
        <v>59238.55</v>
      </c>
      <c r="C111">
        <f t="shared" si="14"/>
        <v>-9.0109607007352998E-3</v>
      </c>
      <c r="D111">
        <f t="shared" si="9"/>
        <v>-2.735079693130152E-4</v>
      </c>
      <c r="E111">
        <f t="shared" si="10"/>
        <v>-9.0109607007352998E-3</v>
      </c>
      <c r="F111">
        <f t="shared" si="15"/>
        <v>5.0824853038629759E-3</v>
      </c>
      <c r="G111">
        <f t="shared" si="16"/>
        <v>59094.362500000003</v>
      </c>
      <c r="H111">
        <f t="shared" si="8"/>
        <v>57782.891000000003</v>
      </c>
      <c r="I111">
        <f>MAX($B$2:B111)</f>
        <v>59777.2</v>
      </c>
      <c r="J111">
        <f t="shared" si="11"/>
        <v>-9.0109607007352998E-3</v>
      </c>
      <c r="L111" s="1">
        <v>45948</v>
      </c>
      <c r="M111" t="str">
        <f t="shared" si="12"/>
        <v/>
      </c>
      <c r="N111">
        <f t="shared" si="13"/>
        <v>57713.35</v>
      </c>
    </row>
    <row r="112" spans="1:14" x14ac:dyDescent="0.3">
      <c r="A112" s="1">
        <v>46000</v>
      </c>
      <c r="B112">
        <v>59222.35</v>
      </c>
      <c r="C112">
        <f t="shared" si="14"/>
        <v>-2.7347056941812999E-4</v>
      </c>
      <c r="D112">
        <f t="shared" si="9"/>
        <v>-4.4329723072127816E-3</v>
      </c>
      <c r="E112">
        <f t="shared" si="10"/>
        <v>-2.7347056941812999E-4</v>
      </c>
      <c r="F112">
        <f t="shared" si="15"/>
        <v>5.0617158868333373E-3</v>
      </c>
      <c r="G112">
        <f t="shared" si="16"/>
        <v>59148.572500000009</v>
      </c>
      <c r="H112">
        <f t="shared" si="8"/>
        <v>57867.814000000006</v>
      </c>
      <c r="I112">
        <f>MAX($B$2:B112)</f>
        <v>59777.2</v>
      </c>
      <c r="J112">
        <f t="shared" si="11"/>
        <v>-9.2819670375995957E-3</v>
      </c>
      <c r="L112" s="1">
        <v>45949</v>
      </c>
      <c r="M112" t="str">
        <f t="shared" si="12"/>
        <v/>
      </c>
      <c r="N112">
        <f t="shared" si="13"/>
        <v>57713.35</v>
      </c>
    </row>
    <row r="113" spans="1:14" x14ac:dyDescent="0.3">
      <c r="A113" s="1">
        <v>46001</v>
      </c>
      <c r="B113">
        <v>58960.4</v>
      </c>
      <c r="C113">
        <f t="shared" si="14"/>
        <v>-4.4231611883013269E-3</v>
      </c>
      <c r="D113">
        <f t="shared" si="9"/>
        <v>4.2218810660398917E-3</v>
      </c>
      <c r="E113">
        <f t="shared" si="10"/>
        <v>-4.4231611883013269E-3</v>
      </c>
      <c r="F113">
        <f t="shared" si="15"/>
        <v>5.181065649653132E-3</v>
      </c>
      <c r="G113">
        <f t="shared" si="16"/>
        <v>59182.86</v>
      </c>
      <c r="H113">
        <f t="shared" si="8"/>
        <v>57959.235000000001</v>
      </c>
      <c r="I113">
        <f>MAX($B$2:B113)</f>
        <v>59777.2</v>
      </c>
      <c r="J113">
        <f t="shared" si="11"/>
        <v>-1.3664072589549121E-2</v>
      </c>
      <c r="L113" s="1">
        <v>45950</v>
      </c>
      <c r="M113">
        <f t="shared" si="12"/>
        <v>58033.2</v>
      </c>
      <c r="N113">
        <f t="shared" si="13"/>
        <v>58033.2</v>
      </c>
    </row>
    <row r="114" spans="1:14" x14ac:dyDescent="0.3">
      <c r="A114" s="1">
        <v>46002</v>
      </c>
      <c r="B114">
        <v>59209.85</v>
      </c>
      <c r="C114">
        <f t="shared" si="14"/>
        <v>4.230805761154895E-3</v>
      </c>
      <c r="D114">
        <f t="shared" si="9"/>
        <v>3.0371069502161002E-3</v>
      </c>
      <c r="E114">
        <f t="shared" si="10"/>
        <v>4.230805761154895E-3</v>
      </c>
      <c r="F114">
        <f t="shared" si="15"/>
        <v>5.2356106040145588E-3</v>
      </c>
      <c r="G114">
        <f t="shared" si="16"/>
        <v>59224.255000000005</v>
      </c>
      <c r="H114">
        <f t="shared" si="8"/>
        <v>58054.211999999992</v>
      </c>
      <c r="I114">
        <f>MAX($B$2:B114)</f>
        <v>59777.2</v>
      </c>
      <c r="J114">
        <f t="shared" si="11"/>
        <v>-9.4910768654269274E-3</v>
      </c>
      <c r="L114" s="1">
        <v>45951</v>
      </c>
      <c r="M114">
        <f t="shared" si="12"/>
        <v>58007.199999999997</v>
      </c>
      <c r="N114">
        <f t="shared" si="13"/>
        <v>58007.199999999997</v>
      </c>
    </row>
    <row r="115" spans="1:14" x14ac:dyDescent="0.3">
      <c r="A115" s="1">
        <v>46003</v>
      </c>
      <c r="B115">
        <v>59389.95</v>
      </c>
      <c r="C115">
        <f t="shared" si="14"/>
        <v>3.0417236321321293E-3</v>
      </c>
      <c r="D115">
        <f t="shared" si="9"/>
        <v>1.2090694289790455E-3</v>
      </c>
      <c r="E115">
        <f t="shared" si="10"/>
        <v>3.0417236321321293E-3</v>
      </c>
      <c r="F115">
        <f t="shared" si="15"/>
        <v>5.2489587133004384E-3</v>
      </c>
      <c r="G115">
        <f t="shared" si="16"/>
        <v>59267.875</v>
      </c>
      <c r="H115">
        <f t="shared" si="8"/>
        <v>58149.294000000002</v>
      </c>
      <c r="I115">
        <f>MAX($B$2:B115)</f>
        <v>59777.2</v>
      </c>
      <c r="J115">
        <f t="shared" si="11"/>
        <v>-6.4782224660907507E-3</v>
      </c>
      <c r="L115" s="1">
        <v>45952</v>
      </c>
      <c r="M115" t="str">
        <f t="shared" si="12"/>
        <v/>
      </c>
      <c r="N115">
        <f t="shared" si="13"/>
        <v>58007.199999999997</v>
      </c>
    </row>
    <row r="116" spans="1:14" x14ac:dyDescent="0.3">
      <c r="A116" s="1">
        <v>46006</v>
      </c>
      <c r="B116">
        <v>59461.8</v>
      </c>
      <c r="C116">
        <f t="shared" si="14"/>
        <v>1.2098006480895475E-3</v>
      </c>
      <c r="D116">
        <f t="shared" si="9"/>
        <v>-7.2103768692691039E-3</v>
      </c>
      <c r="E116">
        <f t="shared" si="10"/>
        <v>1.2098006480895475E-3</v>
      </c>
      <c r="F116">
        <f t="shared" si="15"/>
        <v>5.0111224870382125E-3</v>
      </c>
      <c r="G116">
        <f t="shared" si="16"/>
        <v>59292.829999999994</v>
      </c>
      <c r="H116">
        <f t="shared" ref="H116:H161" si="17">AVERAGE(B67:B116)</f>
        <v>58231.571000000004</v>
      </c>
      <c r="I116">
        <f>MAX($B$2:B116)</f>
        <v>59777.2</v>
      </c>
      <c r="J116">
        <f t="shared" si="11"/>
        <v>-5.2762591757391482E-3</v>
      </c>
      <c r="L116" s="1">
        <v>45953</v>
      </c>
      <c r="M116">
        <f t="shared" si="12"/>
        <v>58078.05</v>
      </c>
      <c r="N116">
        <f t="shared" si="13"/>
        <v>58078.05</v>
      </c>
    </row>
    <row r="117" spans="1:14" x14ac:dyDescent="0.3">
      <c r="A117" s="1">
        <v>46007</v>
      </c>
      <c r="B117">
        <v>59034.6</v>
      </c>
      <c r="C117">
        <f t="shared" si="14"/>
        <v>-7.1844444668678776E-3</v>
      </c>
      <c r="D117">
        <f t="shared" si="9"/>
        <v>-1.8285655437322184E-3</v>
      </c>
      <c r="E117">
        <f t="shared" si="10"/>
        <v>-7.1844444668678776E-3</v>
      </c>
      <c r="F117">
        <f t="shared" si="15"/>
        <v>5.2731524037354996E-3</v>
      </c>
      <c r="G117">
        <f t="shared" si="16"/>
        <v>59299.597500000011</v>
      </c>
      <c r="H117">
        <f t="shared" si="17"/>
        <v>58300.47800000001</v>
      </c>
      <c r="I117">
        <f>MAX($B$2:B117)</f>
        <v>59777.2</v>
      </c>
      <c r="J117">
        <f t="shared" si="11"/>
        <v>-1.2422796651566126E-2</v>
      </c>
      <c r="L117" s="1">
        <v>45954</v>
      </c>
      <c r="M117">
        <f t="shared" si="12"/>
        <v>57699.6</v>
      </c>
      <c r="N117">
        <f t="shared" si="13"/>
        <v>57699.6</v>
      </c>
    </row>
    <row r="118" spans="1:14" x14ac:dyDescent="0.3">
      <c r="A118" s="1">
        <v>46008</v>
      </c>
      <c r="B118">
        <v>58926.75</v>
      </c>
      <c r="C118">
        <f t="shared" si="14"/>
        <v>-1.826894736307158E-3</v>
      </c>
      <c r="D118">
        <f t="shared" si="9"/>
        <v>-2.3591390440008583E-4</v>
      </c>
      <c r="E118">
        <f t="shared" si="10"/>
        <v>-1.826894736307158E-3</v>
      </c>
      <c r="F118">
        <f t="shared" si="15"/>
        <v>5.1467872507217184E-3</v>
      </c>
      <c r="G118">
        <f t="shared" si="16"/>
        <v>59285.132499999992</v>
      </c>
      <c r="H118">
        <f t="shared" si="17"/>
        <v>58356.916000000005</v>
      </c>
      <c r="I118">
        <f>MAX($B$2:B118)</f>
        <v>59777.2</v>
      </c>
      <c r="J118">
        <f t="shared" si="11"/>
        <v>-1.4226996246060324E-2</v>
      </c>
      <c r="L118" s="1">
        <v>45955</v>
      </c>
      <c r="M118" t="str">
        <f t="shared" si="12"/>
        <v/>
      </c>
      <c r="N118">
        <f t="shared" si="13"/>
        <v>57699.6</v>
      </c>
    </row>
    <row r="119" spans="1:14" x14ac:dyDescent="0.3">
      <c r="A119" s="1">
        <v>46009</v>
      </c>
      <c r="B119">
        <v>58912.85</v>
      </c>
      <c r="C119">
        <f t="shared" si="14"/>
        <v>-2.3588607890306958E-4</v>
      </c>
      <c r="D119">
        <f t="shared" si="9"/>
        <v>2.6504047272489506E-3</v>
      </c>
      <c r="E119">
        <f t="shared" si="10"/>
        <v>-2.3588607890306958E-4</v>
      </c>
      <c r="F119">
        <f t="shared" si="15"/>
        <v>5.1159548558175772E-3</v>
      </c>
      <c r="G119">
        <f t="shared" si="16"/>
        <v>59263.39</v>
      </c>
      <c r="H119">
        <f t="shared" si="17"/>
        <v>58410.386000000006</v>
      </c>
      <c r="I119">
        <f>MAX($B$2:B119)</f>
        <v>59777.2</v>
      </c>
      <c r="J119">
        <f t="shared" si="11"/>
        <v>-1.4459526374604341E-2</v>
      </c>
      <c r="L119" s="1">
        <v>45956</v>
      </c>
      <c r="M119" t="str">
        <f t="shared" si="12"/>
        <v/>
      </c>
      <c r="N119">
        <f t="shared" si="13"/>
        <v>57699.6</v>
      </c>
    </row>
    <row r="120" spans="1:14" x14ac:dyDescent="0.3">
      <c r="A120" s="1">
        <v>46010</v>
      </c>
      <c r="B120">
        <v>59069.2</v>
      </c>
      <c r="C120">
        <f t="shared" si="14"/>
        <v>2.6539201549407058E-3</v>
      </c>
      <c r="D120">
        <f t="shared" si="9"/>
        <v>3.9671193807522742E-3</v>
      </c>
      <c r="E120">
        <f t="shared" si="10"/>
        <v>2.6539201549407058E-3</v>
      </c>
      <c r="F120">
        <f t="shared" si="15"/>
        <v>4.8318554670040356E-3</v>
      </c>
      <c r="G120">
        <f t="shared" si="16"/>
        <v>59273.465000000004</v>
      </c>
      <c r="H120">
        <f t="shared" si="17"/>
        <v>58471.405000000006</v>
      </c>
      <c r="I120">
        <f>MAX($B$2:B120)</f>
        <v>59777.2</v>
      </c>
      <c r="J120">
        <f t="shared" si="11"/>
        <v>-1.1843980648140094E-2</v>
      </c>
      <c r="L120" s="1">
        <v>45957</v>
      </c>
      <c r="M120">
        <f t="shared" si="12"/>
        <v>58114.25</v>
      </c>
      <c r="N120">
        <f t="shared" si="13"/>
        <v>58114.25</v>
      </c>
    </row>
    <row r="121" spans="1:14" x14ac:dyDescent="0.3">
      <c r="A121" s="1">
        <v>46013</v>
      </c>
      <c r="B121">
        <v>59304</v>
      </c>
      <c r="C121">
        <f t="shared" si="14"/>
        <v>3.9749988149492951E-3</v>
      </c>
      <c r="D121">
        <f t="shared" si="9"/>
        <v>-7.5039912415552168E-5</v>
      </c>
      <c r="E121">
        <f t="shared" si="10"/>
        <v>3.9749988149492951E-3</v>
      </c>
      <c r="F121">
        <f t="shared" si="15"/>
        <v>4.8977539800328903E-3</v>
      </c>
      <c r="G121">
        <f t="shared" si="16"/>
        <v>59296.897499999999</v>
      </c>
      <c r="H121">
        <f t="shared" si="17"/>
        <v>58533.644000000015</v>
      </c>
      <c r="I121">
        <f>MAX($B$2:B121)</f>
        <v>59777.2</v>
      </c>
      <c r="J121">
        <f t="shared" si="11"/>
        <v>-7.9160616422314384E-3</v>
      </c>
      <c r="L121" s="1">
        <v>45958</v>
      </c>
      <c r="M121">
        <f t="shared" si="12"/>
        <v>58214.1</v>
      </c>
      <c r="N121">
        <f t="shared" si="13"/>
        <v>58214.1</v>
      </c>
    </row>
    <row r="122" spans="1:14" x14ac:dyDescent="0.3">
      <c r="A122" s="1">
        <v>46014</v>
      </c>
      <c r="B122">
        <v>59299.55</v>
      </c>
      <c r="C122">
        <f t="shared" si="14"/>
        <v>-7.5037096991722142E-5</v>
      </c>
      <c r="D122">
        <f t="shared" si="9"/>
        <v>-1.9572409581452427E-3</v>
      </c>
      <c r="E122">
        <f t="shared" si="10"/>
        <v>-7.5037096991722142E-5</v>
      </c>
      <c r="F122">
        <f t="shared" si="15"/>
        <v>4.8966859726992757E-3</v>
      </c>
      <c r="G122">
        <f t="shared" si="16"/>
        <v>59320.86</v>
      </c>
      <c r="H122">
        <f t="shared" si="17"/>
        <v>58587.44000000001</v>
      </c>
      <c r="I122">
        <f>MAX($B$2:B122)</f>
        <v>59777.2</v>
      </c>
      <c r="J122">
        <f t="shared" si="11"/>
        <v>-7.9905047409379194E-3</v>
      </c>
      <c r="L122" s="1">
        <v>45959</v>
      </c>
      <c r="M122">
        <f t="shared" si="12"/>
        <v>58385.25</v>
      </c>
      <c r="N122">
        <f t="shared" si="13"/>
        <v>58385.25</v>
      </c>
    </row>
    <row r="123" spans="1:14" x14ac:dyDescent="0.3">
      <c r="A123" s="1">
        <v>46015</v>
      </c>
      <c r="B123">
        <v>59183.6</v>
      </c>
      <c r="C123">
        <f t="shared" si="14"/>
        <v>-1.9553268110804275E-3</v>
      </c>
      <c r="D123">
        <f t="shared" si="9"/>
        <v>-2.9146781980725679E-3</v>
      </c>
      <c r="E123">
        <f t="shared" si="10"/>
        <v>-1.9553268110804275E-3</v>
      </c>
      <c r="F123">
        <f t="shared" si="15"/>
        <v>4.1261374662510206E-3</v>
      </c>
      <c r="G123">
        <f t="shared" si="16"/>
        <v>59303.637500000012</v>
      </c>
      <c r="H123">
        <f t="shared" si="17"/>
        <v>58638.612000000008</v>
      </c>
      <c r="I123">
        <f>MAX($B$2:B123)</f>
        <v>59777.2</v>
      </c>
      <c r="J123">
        <f t="shared" si="11"/>
        <v>-9.9302075038643252E-3</v>
      </c>
      <c r="L123" s="1">
        <v>45960</v>
      </c>
      <c r="M123">
        <f t="shared" si="12"/>
        <v>58031.1</v>
      </c>
      <c r="N123">
        <f t="shared" si="13"/>
        <v>58031.1</v>
      </c>
    </row>
    <row r="124" spans="1:14" x14ac:dyDescent="0.3">
      <c r="A124" s="1">
        <v>46017</v>
      </c>
      <c r="B124">
        <v>59011.35</v>
      </c>
      <c r="C124">
        <f t="shared" si="14"/>
        <v>-2.9104346474361142E-3</v>
      </c>
      <c r="D124">
        <f t="shared" si="9"/>
        <v>-1.3396224099187968E-3</v>
      </c>
      <c r="E124">
        <f t="shared" si="10"/>
        <v>-2.9104346474361142E-3</v>
      </c>
      <c r="F124">
        <f t="shared" si="15"/>
        <v>4.0677472508889112E-3</v>
      </c>
      <c r="G124">
        <f t="shared" si="16"/>
        <v>59267.340000000004</v>
      </c>
      <c r="H124">
        <f t="shared" si="17"/>
        <v>58688.910000000011</v>
      </c>
      <c r="I124">
        <f>MAX($B$2:B124)</f>
        <v>59777.2</v>
      </c>
      <c r="J124">
        <f t="shared" si="11"/>
        <v>-1.2811740931324964E-2</v>
      </c>
      <c r="L124" s="1">
        <v>45961</v>
      </c>
      <c r="M124">
        <f t="shared" si="12"/>
        <v>57776.35</v>
      </c>
      <c r="N124">
        <f t="shared" si="13"/>
        <v>57776.35</v>
      </c>
    </row>
    <row r="125" spans="1:14" x14ac:dyDescent="0.3">
      <c r="A125" s="1">
        <v>46020</v>
      </c>
      <c r="B125">
        <v>58932.35</v>
      </c>
      <c r="C125">
        <f t="shared" si="14"/>
        <v>-1.3387255163625302E-3</v>
      </c>
      <c r="D125">
        <f t="shared" si="9"/>
        <v>4.0456061599848875E-3</v>
      </c>
      <c r="E125">
        <f t="shared" si="10"/>
        <v>-1.3387255163625302E-3</v>
      </c>
      <c r="F125">
        <f t="shared" si="15"/>
        <v>4.0657388075487416E-3</v>
      </c>
      <c r="G125">
        <f t="shared" si="16"/>
        <v>59226.322500000009</v>
      </c>
      <c r="H125">
        <f t="shared" si="17"/>
        <v>58731.559000000016</v>
      </c>
      <c r="I125">
        <f>MAX($B$2:B125)</f>
        <v>59777.2</v>
      </c>
      <c r="J125">
        <f t="shared" si="11"/>
        <v>-1.4133315043193703E-2</v>
      </c>
      <c r="L125" s="1">
        <v>45962</v>
      </c>
      <c r="M125" t="str">
        <f t="shared" si="12"/>
        <v/>
      </c>
      <c r="N125">
        <f t="shared" si="13"/>
        <v>57776.35</v>
      </c>
    </row>
    <row r="126" spans="1:14" x14ac:dyDescent="0.3">
      <c r="A126" s="1">
        <v>46021</v>
      </c>
      <c r="B126">
        <v>59171.25</v>
      </c>
      <c r="C126">
        <f t="shared" si="14"/>
        <v>4.0538006714478797E-3</v>
      </c>
      <c r="D126">
        <f t="shared" si="9"/>
        <v>6.9152154553726482E-3</v>
      </c>
      <c r="E126">
        <f t="shared" si="10"/>
        <v>4.0538006714478797E-3</v>
      </c>
      <c r="F126">
        <f t="shared" si="15"/>
        <v>4.191661529521223E-3</v>
      </c>
      <c r="G126">
        <f t="shared" si="16"/>
        <v>59200.817500000005</v>
      </c>
      <c r="H126">
        <f t="shared" si="17"/>
        <v>58766.533000000018</v>
      </c>
      <c r="I126">
        <f>MAX($B$2:B126)</f>
        <v>59777.2</v>
      </c>
      <c r="J126">
        <f t="shared" si="11"/>
        <v>-1.0136808013757706E-2</v>
      </c>
      <c r="L126" s="1">
        <v>45963</v>
      </c>
      <c r="M126" t="str">
        <f t="shared" si="12"/>
        <v/>
      </c>
      <c r="N126">
        <f t="shared" si="13"/>
        <v>57776.35</v>
      </c>
    </row>
    <row r="127" spans="1:14" x14ac:dyDescent="0.3">
      <c r="A127" s="1">
        <v>46022</v>
      </c>
      <c r="B127">
        <v>59581.85</v>
      </c>
      <c r="C127">
        <f t="shared" si="14"/>
        <v>6.9391807676869857E-3</v>
      </c>
      <c r="D127">
        <f t="shared" si="9"/>
        <v>2.1744715316241617E-3</v>
      </c>
      <c r="E127">
        <f t="shared" si="10"/>
        <v>6.9391807676869857E-3</v>
      </c>
      <c r="F127">
        <f t="shared" si="15"/>
        <v>4.2131717979209064E-3</v>
      </c>
      <c r="G127">
        <f t="shared" si="16"/>
        <v>59216.220000000008</v>
      </c>
      <c r="H127">
        <f t="shared" si="17"/>
        <v>58803.903000000028</v>
      </c>
      <c r="I127">
        <f>MAX($B$2:B127)</f>
        <v>59777.2</v>
      </c>
      <c r="J127">
        <f t="shared" si="11"/>
        <v>-3.2679683892855227E-3</v>
      </c>
      <c r="L127" s="1">
        <v>45964</v>
      </c>
      <c r="M127">
        <f t="shared" si="12"/>
        <v>58101.45</v>
      </c>
      <c r="N127">
        <f t="shared" si="13"/>
        <v>58101.45</v>
      </c>
    </row>
    <row r="128" spans="1:14" x14ac:dyDescent="0.3">
      <c r="A128" s="1">
        <v>46023</v>
      </c>
      <c r="B128">
        <v>59711.55</v>
      </c>
      <c r="C128">
        <f t="shared" si="14"/>
        <v>2.1768374093789362E-3</v>
      </c>
      <c r="D128">
        <f t="shared" si="9"/>
        <v>7.3317671218297601E-3</v>
      </c>
      <c r="E128">
        <f t="shared" si="10"/>
        <v>2.1768374093789362E-3</v>
      </c>
      <c r="F128">
        <f t="shared" si="15"/>
        <v>4.2287185535055966E-3</v>
      </c>
      <c r="G128">
        <f t="shared" si="16"/>
        <v>59234.384999999995</v>
      </c>
      <c r="H128">
        <f t="shared" si="17"/>
        <v>58837.470000000008</v>
      </c>
      <c r="I128">
        <f>MAX($B$2:B128)</f>
        <v>59777.2</v>
      </c>
      <c r="J128">
        <f t="shared" si="11"/>
        <v>-1.0982448157490512E-3</v>
      </c>
      <c r="L128" s="1">
        <v>45965</v>
      </c>
      <c r="M128">
        <f t="shared" si="12"/>
        <v>57827.05</v>
      </c>
      <c r="N128">
        <f t="shared" si="13"/>
        <v>57827.05</v>
      </c>
    </row>
    <row r="129" spans="1:14" x14ac:dyDescent="0.3">
      <c r="A129" s="1">
        <v>46024</v>
      </c>
      <c r="B129">
        <v>60150.95</v>
      </c>
      <c r="C129">
        <f t="shared" si="14"/>
        <v>7.3587103332603855E-3</v>
      </c>
      <c r="D129">
        <f t="shared" si="9"/>
        <v>-1.7762784616154952E-3</v>
      </c>
      <c r="E129">
        <f t="shared" si="10"/>
        <v>7.3587103332603855E-3</v>
      </c>
      <c r="F129">
        <f t="shared" si="15"/>
        <v>4.4834982840761687E-3</v>
      </c>
      <c r="G129">
        <f t="shared" si="16"/>
        <v>59277.497499999998</v>
      </c>
      <c r="H129">
        <f t="shared" si="17"/>
        <v>58880.345000000016</v>
      </c>
      <c r="I129">
        <f>MAX($B$2:B129)</f>
        <v>60150.95</v>
      </c>
      <c r="J129">
        <f t="shared" si="11"/>
        <v>0</v>
      </c>
      <c r="L129" s="1">
        <v>45966</v>
      </c>
      <c r="M129" t="str">
        <f t="shared" si="12"/>
        <v/>
      </c>
      <c r="N129">
        <f t="shared" si="13"/>
        <v>57827.05</v>
      </c>
    </row>
    <row r="130" spans="1:14" x14ac:dyDescent="0.3">
      <c r="A130" s="1">
        <v>46027</v>
      </c>
      <c r="B130">
        <v>60044.2</v>
      </c>
      <c r="C130">
        <f t="shared" si="14"/>
        <v>-1.7747018126895752E-3</v>
      </c>
      <c r="D130">
        <f t="shared" si="9"/>
        <v>1.2349934077804201E-3</v>
      </c>
      <c r="E130">
        <f t="shared" si="10"/>
        <v>-1.7747018126895752E-3</v>
      </c>
      <c r="F130">
        <f t="shared" si="15"/>
        <v>4.1650282553877885E-3</v>
      </c>
      <c r="G130">
        <f t="shared" si="16"/>
        <v>59290.847499999989</v>
      </c>
      <c r="H130">
        <f t="shared" si="17"/>
        <v>58919.66800000002</v>
      </c>
      <c r="I130">
        <f>MAX($B$2:B130)</f>
        <v>60150.95</v>
      </c>
      <c r="J130">
        <f t="shared" si="11"/>
        <v>-1.7747018126895752E-3</v>
      </c>
      <c r="L130" s="1">
        <v>45967</v>
      </c>
      <c r="M130">
        <f t="shared" si="12"/>
        <v>57554.25</v>
      </c>
      <c r="N130">
        <f t="shared" si="13"/>
        <v>57554.25</v>
      </c>
    </row>
    <row r="131" spans="1:14" x14ac:dyDescent="0.3">
      <c r="A131" s="1">
        <v>46028</v>
      </c>
      <c r="B131">
        <v>60118.400000000001</v>
      </c>
      <c r="C131">
        <f t="shared" si="14"/>
        <v>1.2357563261731254E-3</v>
      </c>
      <c r="D131">
        <f t="shared" ref="D131:D161" si="18">LN(B132/B131)</f>
        <v>-2.1239004980494621E-3</v>
      </c>
      <c r="E131">
        <f t="shared" ref="E131:E161" si="19">C131</f>
        <v>1.2357563261731254E-3</v>
      </c>
      <c r="F131">
        <f t="shared" si="15"/>
        <v>3.5866707762570635E-3</v>
      </c>
      <c r="G131">
        <f t="shared" si="16"/>
        <v>59334.839999999989</v>
      </c>
      <c r="H131">
        <f t="shared" si="17"/>
        <v>58968.044000000024</v>
      </c>
      <c r="I131">
        <f>MAX($B$2:B131)</f>
        <v>60150.95</v>
      </c>
      <c r="J131">
        <f t="shared" ref="J131:J161" si="20">(B131-I131)/I131</f>
        <v>-5.4113858550855205E-4</v>
      </c>
      <c r="L131" s="1">
        <v>45968</v>
      </c>
      <c r="M131">
        <f t="shared" ref="M131:M161" si="21">_xlfn.XLOOKUP(L131,A:A,B:B,"")</f>
        <v>57876.800000000003</v>
      </c>
      <c r="N131">
        <f t="shared" ref="N131:N161" si="22">IF(M131="",N130,M131)</f>
        <v>57876.800000000003</v>
      </c>
    </row>
    <row r="132" spans="1:14" x14ac:dyDescent="0.3">
      <c r="A132" s="1">
        <v>46029</v>
      </c>
      <c r="B132">
        <v>59990.85</v>
      </c>
      <c r="C132">
        <f t="shared" si="14"/>
        <v>-2.1216466173418274E-3</v>
      </c>
      <c r="D132">
        <f t="shared" si="18"/>
        <v>-5.086186418894462E-3</v>
      </c>
      <c r="E132">
        <f t="shared" si="19"/>
        <v>-2.1216466173418274E-3</v>
      </c>
      <c r="F132">
        <f t="shared" si="15"/>
        <v>3.6351724209151264E-3</v>
      </c>
      <c r="G132">
        <f t="shared" si="16"/>
        <v>59373.264999999992</v>
      </c>
      <c r="H132">
        <f t="shared" si="17"/>
        <v>59005.576000000023</v>
      </c>
      <c r="I132">
        <f>MAX($B$2:B132)</f>
        <v>60150.95</v>
      </c>
      <c r="J132">
        <f t="shared" si="20"/>
        <v>-2.6616370980009217E-3</v>
      </c>
      <c r="L132" s="1">
        <v>45969</v>
      </c>
      <c r="M132" t="str">
        <f t="shared" si="21"/>
        <v/>
      </c>
      <c r="N132">
        <f t="shared" si="22"/>
        <v>57876.800000000003</v>
      </c>
    </row>
    <row r="133" spans="1:14" x14ac:dyDescent="0.3">
      <c r="A133" s="1">
        <v>46030</v>
      </c>
      <c r="B133">
        <v>59686.5</v>
      </c>
      <c r="C133">
        <f t="shared" ref="C133:C161" si="23">(B133-B132)/B132</f>
        <v>-5.0732736742352966E-3</v>
      </c>
      <c r="D133">
        <f t="shared" si="18"/>
        <v>-7.3139241632811727E-3</v>
      </c>
      <c r="E133">
        <f t="shared" si="19"/>
        <v>-5.0732736742352966E-3</v>
      </c>
      <c r="F133">
        <f t="shared" si="15"/>
        <v>3.6829963252152965E-3</v>
      </c>
      <c r="G133">
        <f t="shared" si="16"/>
        <v>59409.569999999992</v>
      </c>
      <c r="H133">
        <f t="shared" si="17"/>
        <v>59035.024000000012</v>
      </c>
      <c r="I133">
        <f>MAX($B$2:B133)</f>
        <v>60150.95</v>
      </c>
      <c r="J133">
        <f t="shared" si="20"/>
        <v>-7.7214075588165629E-3</v>
      </c>
      <c r="L133" s="1">
        <v>45970</v>
      </c>
      <c r="M133" t="str">
        <f t="shared" si="21"/>
        <v/>
      </c>
      <c r="N133">
        <f t="shared" si="22"/>
        <v>57876.800000000003</v>
      </c>
    </row>
    <row r="134" spans="1:14" x14ac:dyDescent="0.3">
      <c r="A134" s="1">
        <v>46031</v>
      </c>
      <c r="B134">
        <v>59251.55</v>
      </c>
      <c r="C134">
        <f t="shared" si="23"/>
        <v>-7.2872425087749677E-3</v>
      </c>
      <c r="D134">
        <f t="shared" si="18"/>
        <v>3.3520935197374666E-3</v>
      </c>
      <c r="E134">
        <f t="shared" si="19"/>
        <v>-7.2872425087749677E-3</v>
      </c>
      <c r="F134">
        <f t="shared" si="15"/>
        <v>3.9630703538697902E-3</v>
      </c>
      <c r="G134">
        <f t="shared" si="16"/>
        <v>59411.655000000006</v>
      </c>
      <c r="H134">
        <f t="shared" si="17"/>
        <v>59052.350000000006</v>
      </c>
      <c r="I134">
        <f>MAX($B$2:B134)</f>
        <v>60150.95</v>
      </c>
      <c r="J134">
        <f t="shared" si="20"/>
        <v>-1.4952382298201346E-2</v>
      </c>
      <c r="L134" s="1">
        <v>45971</v>
      </c>
      <c r="M134">
        <f t="shared" si="21"/>
        <v>57937.55</v>
      </c>
      <c r="N134">
        <f t="shared" si="22"/>
        <v>57937.55</v>
      </c>
    </row>
    <row r="135" spans="1:14" x14ac:dyDescent="0.3">
      <c r="A135" s="1">
        <v>46034</v>
      </c>
      <c r="B135">
        <v>59450.5</v>
      </c>
      <c r="C135">
        <f t="shared" si="23"/>
        <v>3.3577180681348771E-3</v>
      </c>
      <c r="D135">
        <f t="shared" si="18"/>
        <v>2.1557725650402475E-3</v>
      </c>
      <c r="E135">
        <f t="shared" si="19"/>
        <v>3.3577180681348771E-3</v>
      </c>
      <c r="F135">
        <f t="shared" si="15"/>
        <v>3.9756038358517804E-3</v>
      </c>
      <c r="G135">
        <f t="shared" si="16"/>
        <v>59414.682499999995</v>
      </c>
      <c r="H135">
        <f t="shared" si="17"/>
        <v>59080.738000000005</v>
      </c>
      <c r="I135">
        <f>MAX($B$2:B135)</f>
        <v>60150.95</v>
      </c>
      <c r="J135">
        <f t="shared" si="20"/>
        <v>-1.1644870114270799E-2</v>
      </c>
      <c r="L135" s="1">
        <v>45972</v>
      </c>
      <c r="M135">
        <f t="shared" si="21"/>
        <v>58138.15</v>
      </c>
      <c r="N135">
        <f t="shared" si="22"/>
        <v>58138.15</v>
      </c>
    </row>
    <row r="136" spans="1:14" x14ac:dyDescent="0.3">
      <c r="A136" s="1">
        <v>46035</v>
      </c>
      <c r="B136">
        <v>59578.8</v>
      </c>
      <c r="C136">
        <f t="shared" si="23"/>
        <v>2.1580979133901802E-3</v>
      </c>
      <c r="D136">
        <f t="shared" si="18"/>
        <v>2.2658809935117088E-5</v>
      </c>
      <c r="E136">
        <f t="shared" si="19"/>
        <v>2.1580979133901802E-3</v>
      </c>
      <c r="F136">
        <f t="shared" si="15"/>
        <v>3.9946570432089715E-3</v>
      </c>
      <c r="G136">
        <f t="shared" si="16"/>
        <v>59420.532499999994</v>
      </c>
      <c r="H136">
        <f t="shared" si="17"/>
        <v>59116.787000000011</v>
      </c>
      <c r="I136">
        <f>MAX($B$2:B136)</f>
        <v>60150.95</v>
      </c>
      <c r="J136">
        <f t="shared" si="20"/>
        <v>-9.5119029707759258E-3</v>
      </c>
      <c r="L136" s="1">
        <v>45973</v>
      </c>
      <c r="M136">
        <f t="shared" si="21"/>
        <v>58274.65</v>
      </c>
      <c r="N136">
        <f t="shared" si="22"/>
        <v>58274.65</v>
      </c>
    </row>
    <row r="137" spans="1:14" x14ac:dyDescent="0.3">
      <c r="A137" s="1">
        <v>46036</v>
      </c>
      <c r="B137">
        <v>59580.15</v>
      </c>
      <c r="C137">
        <f t="shared" si="23"/>
        <v>2.2659066647843607E-5</v>
      </c>
      <c r="D137">
        <f t="shared" si="18"/>
        <v>8.6066745442304974E-3</v>
      </c>
      <c r="E137">
        <f t="shared" si="19"/>
        <v>2.2659066647843607E-5</v>
      </c>
      <c r="F137">
        <f t="shared" si="15"/>
        <v>3.6290566919083811E-3</v>
      </c>
      <c r="G137">
        <f t="shared" si="16"/>
        <v>59447.81</v>
      </c>
      <c r="H137">
        <f t="shared" si="17"/>
        <v>59146.361000000012</v>
      </c>
      <c r="I137">
        <f>MAX($B$2:B137)</f>
        <v>60150.95</v>
      </c>
      <c r="J137">
        <f t="shared" si="20"/>
        <v>-9.4894594349714447E-3</v>
      </c>
      <c r="L137" s="1">
        <v>45974</v>
      </c>
      <c r="M137">
        <f t="shared" si="21"/>
        <v>58381.95</v>
      </c>
      <c r="N137">
        <f t="shared" si="22"/>
        <v>58381.95</v>
      </c>
    </row>
    <row r="138" spans="1:14" x14ac:dyDescent="0.3">
      <c r="A138" s="1">
        <v>46038</v>
      </c>
      <c r="B138">
        <v>60095.15</v>
      </c>
      <c r="C138">
        <f t="shared" si="23"/>
        <v>8.6438184529579066E-3</v>
      </c>
      <c r="D138">
        <f t="shared" si="18"/>
        <v>-3.397052101478087E-3</v>
      </c>
      <c r="E138">
        <f t="shared" si="19"/>
        <v>8.6438184529579066E-3</v>
      </c>
      <c r="F138">
        <f t="shared" si="15"/>
        <v>3.997033319948406E-3</v>
      </c>
      <c r="G138">
        <f t="shared" si="16"/>
        <v>59506.229999999981</v>
      </c>
      <c r="H138">
        <f t="shared" si="17"/>
        <v>59191.723000000005</v>
      </c>
      <c r="I138">
        <f>MAX($B$2:B138)</f>
        <v>60150.95</v>
      </c>
      <c r="J138">
        <f t="shared" si="20"/>
        <v>-9.2766614658614096E-4</v>
      </c>
      <c r="L138" s="1">
        <v>45975</v>
      </c>
      <c r="M138">
        <f t="shared" si="21"/>
        <v>58517.55</v>
      </c>
      <c r="N138">
        <f t="shared" si="22"/>
        <v>58517.55</v>
      </c>
    </row>
    <row r="139" spans="1:14" x14ac:dyDescent="0.3">
      <c r="A139" s="1">
        <v>46041</v>
      </c>
      <c r="B139">
        <v>59891.35</v>
      </c>
      <c r="C139">
        <f t="shared" si="23"/>
        <v>-3.3912886480856261E-3</v>
      </c>
      <c r="D139">
        <f t="shared" si="18"/>
        <v>-8.1671564084039028E-3</v>
      </c>
      <c r="E139">
        <f t="shared" si="19"/>
        <v>-3.3912886480856261E-3</v>
      </c>
      <c r="F139">
        <f t="shared" si="15"/>
        <v>4.1031791914344197E-3</v>
      </c>
      <c r="G139">
        <f t="shared" si="16"/>
        <v>59555.154999999992</v>
      </c>
      <c r="H139">
        <f t="shared" si="17"/>
        <v>59238.464999999997</v>
      </c>
      <c r="I139">
        <f>MAX($B$2:B139)</f>
        <v>60150.95</v>
      </c>
      <c r="J139">
        <f t="shared" si="20"/>
        <v>-4.3158088109996363E-3</v>
      </c>
      <c r="L139" s="1">
        <v>45976</v>
      </c>
      <c r="M139" t="str">
        <f t="shared" si="21"/>
        <v/>
      </c>
      <c r="N139">
        <f t="shared" si="22"/>
        <v>58517.55</v>
      </c>
    </row>
    <row r="140" spans="1:14" x14ac:dyDescent="0.3">
      <c r="A140" s="1">
        <v>46042</v>
      </c>
      <c r="B140">
        <v>59404.2</v>
      </c>
      <c r="C140">
        <f t="shared" si="23"/>
        <v>-8.1338957963044984E-3</v>
      </c>
      <c r="D140">
        <f t="shared" si="18"/>
        <v>-1.0217974007296973E-2</v>
      </c>
      <c r="E140">
        <f t="shared" si="19"/>
        <v>-8.1338957963044984E-3</v>
      </c>
      <c r="F140">
        <f t="shared" si="15"/>
        <v>4.5165200765559382E-3</v>
      </c>
      <c r="G140">
        <f t="shared" si="16"/>
        <v>59571.905000000006</v>
      </c>
      <c r="H140">
        <f t="shared" si="17"/>
        <v>59269.013000000006</v>
      </c>
      <c r="I140">
        <f>MAX($B$2:B140)</f>
        <v>60150.95</v>
      </c>
      <c r="J140">
        <f t="shared" si="20"/>
        <v>-1.2414600268158691E-2</v>
      </c>
      <c r="L140" s="1">
        <v>45977</v>
      </c>
      <c r="M140" t="str">
        <f t="shared" si="21"/>
        <v/>
      </c>
      <c r="N140">
        <f t="shared" si="22"/>
        <v>58517.55</v>
      </c>
    </row>
    <row r="141" spans="1:14" x14ac:dyDescent="0.3">
      <c r="A141" s="1">
        <v>46043</v>
      </c>
      <c r="B141">
        <v>58800.3</v>
      </c>
      <c r="C141">
        <f t="shared" si="23"/>
        <v>-1.0165947862272267E-2</v>
      </c>
      <c r="D141">
        <f t="shared" si="18"/>
        <v>6.7762741453401918E-3</v>
      </c>
      <c r="E141">
        <f t="shared" si="19"/>
        <v>-1.0165947862272267E-2</v>
      </c>
      <c r="F141">
        <f t="shared" si="15"/>
        <v>4.9689698889381646E-3</v>
      </c>
      <c r="G141">
        <f t="shared" si="16"/>
        <v>59546.720000000008</v>
      </c>
      <c r="H141">
        <f t="shared" si="17"/>
        <v>59286.268000000011</v>
      </c>
      <c r="I141">
        <f>MAX($B$2:B141)</f>
        <v>60150.95</v>
      </c>
      <c r="J141">
        <f t="shared" si="20"/>
        <v>-2.2454341951373906E-2</v>
      </c>
      <c r="L141" s="1">
        <v>45978</v>
      </c>
      <c r="M141">
        <f t="shared" si="21"/>
        <v>58962.7</v>
      </c>
      <c r="N141">
        <f t="shared" si="22"/>
        <v>58962.7</v>
      </c>
    </row>
    <row r="142" spans="1:14" x14ac:dyDescent="0.3">
      <c r="A142" s="1">
        <v>46044</v>
      </c>
      <c r="B142">
        <v>59200.1</v>
      </c>
      <c r="C142">
        <f t="shared" si="23"/>
        <v>6.7992850376612981E-3</v>
      </c>
      <c r="D142">
        <f t="shared" si="18"/>
        <v>-1.2356411653543229E-2</v>
      </c>
      <c r="E142">
        <f t="shared" si="19"/>
        <v>6.7992850376612981E-3</v>
      </c>
      <c r="F142">
        <f t="shared" si="15"/>
        <v>5.2123298659859365E-3</v>
      </c>
      <c r="G142">
        <f t="shared" si="16"/>
        <v>59541.747500000012</v>
      </c>
      <c r="H142">
        <f t="shared" si="17"/>
        <v>59307.507000000012</v>
      </c>
      <c r="I142">
        <f>MAX($B$2:B142)</f>
        <v>60150.95</v>
      </c>
      <c r="J142">
        <f t="shared" si="20"/>
        <v>-1.5807730384973115E-2</v>
      </c>
      <c r="L142" s="1">
        <v>45979</v>
      </c>
      <c r="M142">
        <f t="shared" si="21"/>
        <v>58899.25</v>
      </c>
      <c r="N142">
        <f t="shared" si="22"/>
        <v>58899.25</v>
      </c>
    </row>
    <row r="143" spans="1:14" x14ac:dyDescent="0.3">
      <c r="A143" s="1">
        <v>46045</v>
      </c>
      <c r="B143">
        <v>58473.1</v>
      </c>
      <c r="C143">
        <f t="shared" si="23"/>
        <v>-1.2280384661512397E-2</v>
      </c>
      <c r="D143">
        <f t="shared" si="18"/>
        <v>1.2446779039255059E-2</v>
      </c>
      <c r="E143">
        <f t="shared" si="19"/>
        <v>-1.2280384661512397E-2</v>
      </c>
      <c r="F143">
        <f t="shared" si="15"/>
        <v>5.8462360242405751E-3</v>
      </c>
      <c r="G143">
        <f t="shared" si="16"/>
        <v>59506.222500000018</v>
      </c>
      <c r="H143">
        <f t="shared" si="17"/>
        <v>59311.476000000017</v>
      </c>
      <c r="I143">
        <f>MAX($B$2:B143)</f>
        <v>60150.95</v>
      </c>
      <c r="J143">
        <f t="shared" si="20"/>
        <v>-2.7893990036732565E-2</v>
      </c>
      <c r="L143" s="1">
        <v>45980</v>
      </c>
      <c r="M143">
        <f t="shared" si="21"/>
        <v>59216.05</v>
      </c>
      <c r="N143">
        <f t="shared" si="22"/>
        <v>59216.05</v>
      </c>
    </row>
    <row r="144" spans="1:14" x14ac:dyDescent="0.3">
      <c r="A144" s="1">
        <v>46049</v>
      </c>
      <c r="B144">
        <v>59205.45</v>
      </c>
      <c r="C144">
        <f t="shared" si="23"/>
        <v>1.252456257663778E-2</v>
      </c>
      <c r="D144">
        <f t="shared" si="18"/>
        <v>6.6218411769855346E-3</v>
      </c>
      <c r="E144">
        <f t="shared" si="19"/>
        <v>1.252456257663778E-2</v>
      </c>
      <c r="F144">
        <f t="shared" si="15"/>
        <v>6.4736366720220982E-3</v>
      </c>
      <c r="G144">
        <f t="shared" si="16"/>
        <v>59515.927500000013</v>
      </c>
      <c r="H144">
        <f t="shared" si="17"/>
        <v>59327.946000000018</v>
      </c>
      <c r="I144">
        <f>MAX($B$2:B144)</f>
        <v>60150.95</v>
      </c>
      <c r="J144">
        <f t="shared" si="20"/>
        <v>-1.5718787483821953E-2</v>
      </c>
      <c r="L144" s="1">
        <v>45981</v>
      </c>
      <c r="M144">
        <f t="shared" si="21"/>
        <v>59347.7</v>
      </c>
      <c r="N144">
        <f t="shared" si="22"/>
        <v>59347.7</v>
      </c>
    </row>
    <row r="145" spans="1:14" x14ac:dyDescent="0.3">
      <c r="A145" s="1">
        <v>46050</v>
      </c>
      <c r="B145">
        <v>59598.8</v>
      </c>
      <c r="C145">
        <f t="shared" si="23"/>
        <v>6.643814040768305E-3</v>
      </c>
      <c r="D145">
        <f t="shared" si="18"/>
        <v>6.0063757129322224E-3</v>
      </c>
      <c r="E145">
        <f t="shared" si="19"/>
        <v>6.643814040768305E-3</v>
      </c>
      <c r="F145">
        <f t="shared" si="15"/>
        <v>6.6119788183165752E-3</v>
      </c>
      <c r="G145">
        <f t="shared" si="16"/>
        <v>59549.250000000015</v>
      </c>
      <c r="H145">
        <f t="shared" si="17"/>
        <v>59349.571000000004</v>
      </c>
      <c r="I145">
        <f>MAX($B$2:B145)</f>
        <v>60150.95</v>
      </c>
      <c r="J145">
        <f t="shared" si="20"/>
        <v>-9.1794061440425168E-3</v>
      </c>
      <c r="L145" s="1">
        <v>45982</v>
      </c>
      <c r="M145">
        <f t="shared" si="21"/>
        <v>58867.7</v>
      </c>
      <c r="N145">
        <f t="shared" si="22"/>
        <v>58867.7</v>
      </c>
    </row>
    <row r="146" spans="1:14" x14ac:dyDescent="0.3">
      <c r="A146" s="1">
        <v>46051</v>
      </c>
      <c r="B146">
        <v>59957.85</v>
      </c>
      <c r="C146">
        <f t="shared" si="23"/>
        <v>6.024450156714491E-3</v>
      </c>
      <c r="D146">
        <f t="shared" si="18"/>
        <v>-5.810921081062799E-3</v>
      </c>
      <c r="E146">
        <f t="shared" si="19"/>
        <v>6.024450156714491E-3</v>
      </c>
      <c r="F146">
        <f t="shared" si="15"/>
        <v>6.6773083330631455E-3</v>
      </c>
      <c r="G146">
        <f t="shared" si="16"/>
        <v>59588.58</v>
      </c>
      <c r="H146">
        <f t="shared" si="17"/>
        <v>59369.474000000002</v>
      </c>
      <c r="I146">
        <f>MAX($B$2:B146)</f>
        <v>60150.95</v>
      </c>
      <c r="J146">
        <f t="shared" si="20"/>
        <v>-3.2102568621110482E-3</v>
      </c>
      <c r="L146" s="1">
        <v>45983</v>
      </c>
      <c r="M146" t="str">
        <f t="shared" si="21"/>
        <v/>
      </c>
      <c r="N146">
        <f t="shared" si="22"/>
        <v>58867.7</v>
      </c>
    </row>
    <row r="147" spans="1:14" x14ac:dyDescent="0.3">
      <c r="A147" s="1">
        <v>46052</v>
      </c>
      <c r="B147">
        <v>59610.45</v>
      </c>
      <c r="C147">
        <f t="shared" si="23"/>
        <v>-5.7940703344099478E-3</v>
      </c>
      <c r="D147">
        <f t="shared" si="18"/>
        <v>-2.0220527252825377E-2</v>
      </c>
      <c r="E147">
        <f t="shared" si="19"/>
        <v>-5.7940703344099478E-3</v>
      </c>
      <c r="F147">
        <f t="shared" si="15"/>
        <v>6.65744073914882E-3</v>
      </c>
      <c r="G147">
        <f t="shared" si="16"/>
        <v>59590.009999999995</v>
      </c>
      <c r="H147">
        <f t="shared" si="17"/>
        <v>59383.698000000004</v>
      </c>
      <c r="I147">
        <f>MAX($B$2:B147)</f>
        <v>60150.95</v>
      </c>
      <c r="J147">
        <f t="shared" si="20"/>
        <v>-8.9857267424704023E-3</v>
      </c>
      <c r="L147" s="1">
        <v>45984</v>
      </c>
      <c r="M147" t="str">
        <f t="shared" si="21"/>
        <v/>
      </c>
      <c r="N147">
        <f t="shared" si="22"/>
        <v>58867.7</v>
      </c>
    </row>
    <row r="148" spans="1:14" x14ac:dyDescent="0.3">
      <c r="A148" s="1">
        <v>46054</v>
      </c>
      <c r="B148">
        <v>58417.2</v>
      </c>
      <c r="C148">
        <f t="shared" si="23"/>
        <v>-2.001746338100115E-2</v>
      </c>
      <c r="D148">
        <f t="shared" si="18"/>
        <v>3.4485090935518965E-3</v>
      </c>
      <c r="E148">
        <f t="shared" si="19"/>
        <v>-2.001746338100115E-2</v>
      </c>
      <c r="F148">
        <f t="shared" si="15"/>
        <v>7.9366564717791611E-3</v>
      </c>
      <c r="G148">
        <f t="shared" si="16"/>
        <v>59525.292499999996</v>
      </c>
      <c r="H148">
        <f t="shared" si="17"/>
        <v>59367.721000000012</v>
      </c>
      <c r="I148">
        <f>MAX($B$2:B148)</f>
        <v>60150.95</v>
      </c>
      <c r="J148">
        <f t="shared" si="20"/>
        <v>-2.8823318667452469E-2</v>
      </c>
      <c r="L148" s="1">
        <v>45985</v>
      </c>
      <c r="M148">
        <f t="shared" si="21"/>
        <v>58835.35</v>
      </c>
      <c r="N148">
        <f t="shared" si="22"/>
        <v>58835.35</v>
      </c>
    </row>
    <row r="149" spans="1:14" x14ac:dyDescent="0.3">
      <c r="A149" s="1">
        <v>46055</v>
      </c>
      <c r="B149">
        <v>58619</v>
      </c>
      <c r="C149">
        <f t="shared" si="23"/>
        <v>3.4544620420013782E-3</v>
      </c>
      <c r="D149">
        <f t="shared" si="18"/>
        <v>2.3973782649684739E-2</v>
      </c>
      <c r="E149">
        <f t="shared" si="19"/>
        <v>3.4544620420013782E-3</v>
      </c>
      <c r="F149">
        <f t="shared" si="15"/>
        <v>7.7734358814499586E-3</v>
      </c>
      <c r="G149">
        <f t="shared" si="16"/>
        <v>59448.694999999992</v>
      </c>
      <c r="H149">
        <f t="shared" si="17"/>
        <v>59353.147000000012</v>
      </c>
      <c r="I149">
        <f>MAX($B$2:B149)</f>
        <v>60150.95</v>
      </c>
      <c r="J149">
        <f t="shared" si="20"/>
        <v>-2.5468425685712316E-2</v>
      </c>
      <c r="L149" s="1">
        <v>45986</v>
      </c>
      <c r="M149">
        <f t="shared" si="21"/>
        <v>58820.3</v>
      </c>
      <c r="N149">
        <f t="shared" si="22"/>
        <v>58820.3</v>
      </c>
    </row>
    <row r="150" spans="1:14" x14ac:dyDescent="0.3">
      <c r="A150" s="1">
        <v>46056</v>
      </c>
      <c r="B150">
        <v>60041.3</v>
      </c>
      <c r="C150">
        <f t="shared" si="23"/>
        <v>2.4263464064552497E-2</v>
      </c>
      <c r="D150">
        <f t="shared" si="18"/>
        <v>3.2732137659930325E-3</v>
      </c>
      <c r="E150">
        <f t="shared" si="19"/>
        <v>2.4263464064552497E-2</v>
      </c>
      <c r="F150">
        <f t="shared" ref="F150:F161" si="24">_xlfn.STDEV.P(C131:C150)</f>
        <v>9.5544355347266345E-3</v>
      </c>
      <c r="G150">
        <f t="shared" ref="G150:G161" si="25">AVERAGE(B131:B150)</f>
        <v>59448.55</v>
      </c>
      <c r="H150">
        <f t="shared" si="17"/>
        <v>59376.619000000013</v>
      </c>
      <c r="I150">
        <f>MAX($B$2:B150)</f>
        <v>60150.95</v>
      </c>
      <c r="J150">
        <f t="shared" si="20"/>
        <v>-1.8229138525658229E-3</v>
      </c>
      <c r="L150" s="1">
        <v>45987</v>
      </c>
      <c r="M150">
        <f t="shared" si="21"/>
        <v>59528.05</v>
      </c>
      <c r="N150">
        <f t="shared" si="22"/>
        <v>59528.05</v>
      </c>
    </row>
    <row r="151" spans="1:14" x14ac:dyDescent="0.3">
      <c r="A151" s="1">
        <v>46057</v>
      </c>
      <c r="B151">
        <v>60238.15</v>
      </c>
      <c r="C151">
        <f t="shared" si="23"/>
        <v>3.2785765797875553E-3</v>
      </c>
      <c r="D151">
        <f t="shared" si="18"/>
        <v>-2.901039259313923E-3</v>
      </c>
      <c r="E151">
        <f t="shared" si="19"/>
        <v>3.2785765797875553E-3</v>
      </c>
      <c r="F151">
        <f t="shared" si="24"/>
        <v>9.5775305089713849E-3</v>
      </c>
      <c r="G151">
        <f t="shared" si="25"/>
        <v>59454.537499999991</v>
      </c>
      <c r="H151">
        <f t="shared" si="17"/>
        <v>59404.675000000017</v>
      </c>
      <c r="I151">
        <f>MAX($B$2:B151)</f>
        <v>60238.15</v>
      </c>
      <c r="J151">
        <f t="shared" si="20"/>
        <v>0</v>
      </c>
      <c r="L151" s="1">
        <v>45988</v>
      </c>
      <c r="M151">
        <f t="shared" si="21"/>
        <v>59737.3</v>
      </c>
      <c r="N151">
        <f t="shared" si="22"/>
        <v>59737.3</v>
      </c>
    </row>
    <row r="152" spans="1:14" x14ac:dyDescent="0.3">
      <c r="A152" s="1">
        <v>46058</v>
      </c>
      <c r="B152">
        <v>60063.65</v>
      </c>
      <c r="C152">
        <f t="shared" si="23"/>
        <v>-2.896835311177385E-3</v>
      </c>
      <c r="D152">
        <f t="shared" si="18"/>
        <v>9.4687994347486646E-4</v>
      </c>
      <c r="E152">
        <f t="shared" si="19"/>
        <v>-2.896835311177385E-3</v>
      </c>
      <c r="F152">
        <f t="shared" si="24"/>
        <v>9.5881887855183787E-3</v>
      </c>
      <c r="G152">
        <f t="shared" si="25"/>
        <v>59458.177499999976</v>
      </c>
      <c r="H152">
        <f t="shared" si="17"/>
        <v>59429.542000000009</v>
      </c>
      <c r="I152">
        <f>MAX($B$2:B152)</f>
        <v>60238.15</v>
      </c>
      <c r="J152">
        <f t="shared" si="20"/>
        <v>-2.896835311177385E-3</v>
      </c>
      <c r="L152" s="1">
        <v>45989</v>
      </c>
      <c r="M152">
        <f t="shared" si="21"/>
        <v>59752.7</v>
      </c>
      <c r="N152">
        <f t="shared" si="22"/>
        <v>59752.7</v>
      </c>
    </row>
    <row r="153" spans="1:14" x14ac:dyDescent="0.3">
      <c r="A153" s="1">
        <v>46059</v>
      </c>
      <c r="B153">
        <v>60120.55</v>
      </c>
      <c r="C153">
        <f t="shared" si="23"/>
        <v>9.473283758146808E-4</v>
      </c>
      <c r="D153">
        <f t="shared" si="18"/>
        <v>9.0869149869102252E-3</v>
      </c>
      <c r="E153">
        <f t="shared" si="19"/>
        <v>9.473283758146808E-4</v>
      </c>
      <c r="F153">
        <f t="shared" si="24"/>
        <v>9.5150710291327951E-3</v>
      </c>
      <c r="G153">
        <f t="shared" si="25"/>
        <v>59479.87999999999</v>
      </c>
      <c r="H153">
        <f t="shared" si="17"/>
        <v>59441.392000000014</v>
      </c>
      <c r="I153">
        <f>MAX($B$2:B153)</f>
        <v>60238.15</v>
      </c>
      <c r="J153">
        <f t="shared" si="20"/>
        <v>-1.9522511896530445E-3</v>
      </c>
      <c r="L153" s="1">
        <v>45990</v>
      </c>
      <c r="M153" t="str">
        <f t="shared" si="21"/>
        <v/>
      </c>
      <c r="N153">
        <f t="shared" si="22"/>
        <v>59752.7</v>
      </c>
    </row>
    <row r="154" spans="1:14" x14ac:dyDescent="0.3">
      <c r="A154" s="1">
        <v>46062</v>
      </c>
      <c r="B154">
        <v>60669.35</v>
      </c>
      <c r="C154">
        <f t="shared" si="23"/>
        <v>9.128326337666498E-3</v>
      </c>
      <c r="D154">
        <f t="shared" si="18"/>
        <v>-7.0818642524653219E-4</v>
      </c>
      <c r="E154">
        <f t="shared" si="19"/>
        <v>9.128326337666498E-3</v>
      </c>
      <c r="F154">
        <f t="shared" si="24"/>
        <v>9.5239170509367702E-3</v>
      </c>
      <c r="G154">
        <f t="shared" si="25"/>
        <v>59550.770000000004</v>
      </c>
      <c r="H154">
        <f t="shared" si="17"/>
        <v>59460.03300000001</v>
      </c>
      <c r="I154">
        <f>MAX($B$2:B154)</f>
        <v>60669.35</v>
      </c>
      <c r="J154">
        <f t="shared" si="20"/>
        <v>0</v>
      </c>
      <c r="L154" s="1">
        <v>45991</v>
      </c>
      <c r="M154" t="str">
        <f t="shared" si="21"/>
        <v/>
      </c>
      <c r="N154">
        <f t="shared" si="22"/>
        <v>59752.7</v>
      </c>
    </row>
    <row r="155" spans="1:14" x14ac:dyDescent="0.3">
      <c r="A155" s="1">
        <v>46063</v>
      </c>
      <c r="B155">
        <v>60626.400000000001</v>
      </c>
      <c r="C155">
        <f t="shared" si="23"/>
        <v>-7.0793572042550466E-4</v>
      </c>
      <c r="D155">
        <f t="shared" si="18"/>
        <v>1.9600943066820681E-3</v>
      </c>
      <c r="E155">
        <f t="shared" si="19"/>
        <v>-7.0793572042550466E-4</v>
      </c>
      <c r="F155">
        <f t="shared" si="24"/>
        <v>9.5196856707884855E-3</v>
      </c>
      <c r="G155">
        <f t="shared" si="25"/>
        <v>59609.565000000002</v>
      </c>
      <c r="H155">
        <f t="shared" si="17"/>
        <v>59477.507000000005</v>
      </c>
      <c r="I155">
        <f>MAX($B$2:B155)</f>
        <v>60669.35</v>
      </c>
      <c r="J155">
        <f t="shared" si="20"/>
        <v>-7.0793572042550466E-4</v>
      </c>
      <c r="L155" s="1">
        <v>45992</v>
      </c>
      <c r="M155">
        <f t="shared" si="21"/>
        <v>59681.35</v>
      </c>
      <c r="N155">
        <f t="shared" si="22"/>
        <v>59681.35</v>
      </c>
    </row>
    <row r="156" spans="1:14" x14ac:dyDescent="0.3">
      <c r="A156" s="1">
        <v>46064</v>
      </c>
      <c r="B156">
        <v>60745.35</v>
      </c>
      <c r="C156">
        <f t="shared" si="23"/>
        <v>1.9620165472466959E-3</v>
      </c>
      <c r="D156">
        <f t="shared" si="18"/>
        <v>-9.2192375920431124E-5</v>
      </c>
      <c r="E156">
        <f t="shared" si="19"/>
        <v>1.9620165472466959E-3</v>
      </c>
      <c r="F156">
        <f t="shared" si="24"/>
        <v>9.5186146371292624E-3</v>
      </c>
      <c r="G156">
        <f t="shared" si="25"/>
        <v>59667.892500000002</v>
      </c>
      <c r="H156">
        <f t="shared" si="17"/>
        <v>59498.787000000004</v>
      </c>
      <c r="I156">
        <f>MAX($B$2:B156)</f>
        <v>60745.35</v>
      </c>
      <c r="J156">
        <f t="shared" si="20"/>
        <v>0</v>
      </c>
      <c r="L156" s="1">
        <v>45993</v>
      </c>
      <c r="M156">
        <f t="shared" si="21"/>
        <v>59273.8</v>
      </c>
      <c r="N156">
        <f t="shared" si="22"/>
        <v>59273.8</v>
      </c>
    </row>
    <row r="157" spans="1:14" x14ac:dyDescent="0.3">
      <c r="A157" s="1">
        <v>46065</v>
      </c>
      <c r="B157">
        <v>60739.75</v>
      </c>
      <c r="C157">
        <f t="shared" si="23"/>
        <v>-9.2188126333925884E-5</v>
      </c>
      <c r="D157">
        <f t="shared" si="18"/>
        <v>-9.1477767804081841E-3</v>
      </c>
      <c r="E157">
        <f t="shared" si="19"/>
        <v>-9.2188126333925884E-5</v>
      </c>
      <c r="F157">
        <f t="shared" si="24"/>
        <v>9.5192463317247383E-3</v>
      </c>
      <c r="G157">
        <f t="shared" si="25"/>
        <v>59725.872499999998</v>
      </c>
      <c r="H157">
        <f t="shared" si="17"/>
        <v>59528.106000000007</v>
      </c>
      <c r="I157">
        <f>MAX($B$2:B157)</f>
        <v>60745.35</v>
      </c>
      <c r="J157">
        <f t="shared" si="20"/>
        <v>-9.2188126333925884E-5</v>
      </c>
      <c r="L157" s="1">
        <v>45994</v>
      </c>
      <c r="M157">
        <f t="shared" si="21"/>
        <v>59348.25</v>
      </c>
      <c r="N157">
        <f t="shared" si="22"/>
        <v>59348.25</v>
      </c>
    </row>
    <row r="158" spans="1:14" x14ac:dyDescent="0.3">
      <c r="A158" s="1">
        <v>46066</v>
      </c>
      <c r="B158">
        <v>60186.65</v>
      </c>
      <c r="C158">
        <f t="shared" si="23"/>
        <v>-9.1060631629204681E-3</v>
      </c>
      <c r="D158">
        <f t="shared" si="18"/>
        <v>1.2588522691582591E-2</v>
      </c>
      <c r="E158">
        <f t="shared" si="19"/>
        <v>-9.1060631629204681E-3</v>
      </c>
      <c r="F158">
        <f t="shared" si="24"/>
        <v>9.5932530118313201E-3</v>
      </c>
      <c r="G158">
        <f t="shared" si="25"/>
        <v>59730.447499999995</v>
      </c>
      <c r="H158">
        <f t="shared" si="17"/>
        <v>59544.873999999996</v>
      </c>
      <c r="I158">
        <f>MAX($B$2:B158)</f>
        <v>60745.35</v>
      </c>
      <c r="J158">
        <f t="shared" si="20"/>
        <v>-9.1974118183531274E-3</v>
      </c>
      <c r="L158" s="1">
        <v>45995</v>
      </c>
      <c r="M158">
        <f t="shared" si="21"/>
        <v>59288.7</v>
      </c>
      <c r="N158">
        <f t="shared" si="22"/>
        <v>59288.7</v>
      </c>
    </row>
    <row r="159" spans="1:14" x14ac:dyDescent="0.3">
      <c r="A159" s="1">
        <v>46069</v>
      </c>
      <c r="B159">
        <v>60949.1</v>
      </c>
      <c r="C159">
        <f t="shared" si="23"/>
        <v>1.2668091678137877E-2</v>
      </c>
      <c r="D159">
        <f t="shared" si="18"/>
        <v>3.6831730318827561E-3</v>
      </c>
      <c r="E159">
        <f t="shared" si="19"/>
        <v>1.2668091678137877E-2</v>
      </c>
      <c r="F159">
        <f t="shared" si="24"/>
        <v>9.9317061972205387E-3</v>
      </c>
      <c r="G159">
        <f t="shared" si="25"/>
        <v>59783.335000000006</v>
      </c>
      <c r="H159">
        <f t="shared" si="17"/>
        <v>59578.082000000002</v>
      </c>
      <c r="I159">
        <f>MAX($B$2:B159)</f>
        <v>60949.1</v>
      </c>
      <c r="J159">
        <f t="shared" si="20"/>
        <v>0</v>
      </c>
      <c r="L159" s="1">
        <v>45996</v>
      </c>
      <c r="M159">
        <f t="shared" si="21"/>
        <v>59777.2</v>
      </c>
      <c r="N159">
        <f t="shared" si="22"/>
        <v>59777.2</v>
      </c>
    </row>
    <row r="160" spans="1:14" x14ac:dyDescent="0.3">
      <c r="A160" s="1">
        <v>46070</v>
      </c>
      <c r="B160">
        <v>61174</v>
      </c>
      <c r="C160">
        <f t="shared" si="23"/>
        <v>3.689964248856857E-3</v>
      </c>
      <c r="D160">
        <f t="shared" si="18"/>
        <v>6.1405874606147064E-3</v>
      </c>
      <c r="E160">
        <f t="shared" si="19"/>
        <v>3.689964248856857E-3</v>
      </c>
      <c r="F160">
        <f t="shared" si="24"/>
        <v>9.7246272211964982E-3</v>
      </c>
      <c r="G160">
        <f t="shared" si="25"/>
        <v>59871.825000000012</v>
      </c>
      <c r="H160">
        <f t="shared" si="17"/>
        <v>59606.017999999996</v>
      </c>
      <c r="I160">
        <f>MAX($B$2:B160)</f>
        <v>61174</v>
      </c>
      <c r="J160">
        <f t="shared" si="20"/>
        <v>0</v>
      </c>
      <c r="L160" s="1">
        <v>45997</v>
      </c>
      <c r="M160" t="str">
        <f t="shared" si="21"/>
        <v/>
      </c>
      <c r="N160">
        <f t="shared" si="22"/>
        <v>59777.2</v>
      </c>
    </row>
    <row r="161" spans="1:14" x14ac:dyDescent="0.3">
      <c r="A161" s="1">
        <v>46071</v>
      </c>
      <c r="B161">
        <v>61550.8</v>
      </c>
      <c r="C161">
        <f t="shared" si="23"/>
        <v>6.1594795174420985E-3</v>
      </c>
      <c r="D161" t="e">
        <f t="shared" si="18"/>
        <v>#NUM!</v>
      </c>
      <c r="E161">
        <f t="shared" si="19"/>
        <v>6.1594795174420985E-3</v>
      </c>
      <c r="F161">
        <f t="shared" si="24"/>
        <v>9.3891689506175741E-3</v>
      </c>
      <c r="G161">
        <f t="shared" si="25"/>
        <v>60009.350000000013</v>
      </c>
      <c r="H161">
        <f t="shared" si="17"/>
        <v>59652.262999999999</v>
      </c>
      <c r="I161">
        <f>MAX($B$2:B161)</f>
        <v>61550.8</v>
      </c>
      <c r="J161">
        <f t="shared" si="20"/>
        <v>0</v>
      </c>
      <c r="L161" s="1">
        <v>45998</v>
      </c>
      <c r="M161" t="str">
        <f t="shared" si="21"/>
        <v/>
      </c>
      <c r="N161">
        <f t="shared" si="22"/>
        <v>59777.2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130D-A32A-4E49-9827-3DB2A139FE16}">
  <dimension ref="A1:E321"/>
  <sheetViews>
    <sheetView workbookViewId="0"/>
  </sheetViews>
  <sheetFormatPr defaultRowHeight="14.4" x14ac:dyDescent="0.3"/>
  <cols>
    <col min="1" max="1" width="10.33203125" bestFit="1" customWidth="1"/>
    <col min="2" max="2" width="9" bestFit="1" customWidth="1"/>
    <col min="3" max="3" width="17.21875" customWidth="1"/>
    <col min="4" max="4" width="31.33203125" customWidth="1"/>
    <col min="5" max="5" width="31.44140625" customWidth="1"/>
  </cols>
  <sheetData>
    <row r="1" spans="1:5" x14ac:dyDescent="0.3">
      <c r="A1" t="s">
        <v>23</v>
      </c>
      <c r="B1" t="s">
        <v>22</v>
      </c>
      <c r="C1" t="s">
        <v>24</v>
      </c>
      <c r="D1" t="s">
        <v>25</v>
      </c>
      <c r="E1" t="s">
        <v>26</v>
      </c>
    </row>
    <row r="2" spans="1:5" x14ac:dyDescent="0.3">
      <c r="A2" s="1">
        <v>45839</v>
      </c>
      <c r="B2">
        <v>57459.45</v>
      </c>
    </row>
    <row r="3" spans="1:5" x14ac:dyDescent="0.3">
      <c r="A3" s="1">
        <v>45840</v>
      </c>
      <c r="B3">
        <v>56999.199999999997</v>
      </c>
    </row>
    <row r="4" spans="1:5" x14ac:dyDescent="0.3">
      <c r="A4" s="1">
        <v>45841</v>
      </c>
      <c r="B4">
        <v>56791.95</v>
      </c>
    </row>
    <row r="5" spans="1:5" x14ac:dyDescent="0.3">
      <c r="A5" s="1">
        <v>45842</v>
      </c>
      <c r="B5">
        <v>57031.9</v>
      </c>
    </row>
    <row r="6" spans="1:5" x14ac:dyDescent="0.3">
      <c r="A6" s="1">
        <v>45843</v>
      </c>
      <c r="B6">
        <v>57031.9</v>
      </c>
    </row>
    <row r="7" spans="1:5" x14ac:dyDescent="0.3">
      <c r="A7" s="1">
        <v>45844</v>
      </c>
      <c r="B7">
        <v>57031.9</v>
      </c>
    </row>
    <row r="8" spans="1:5" x14ac:dyDescent="0.3">
      <c r="A8" s="1">
        <v>45845</v>
      </c>
      <c r="B8">
        <v>56949.2</v>
      </c>
    </row>
    <row r="9" spans="1:5" x14ac:dyDescent="0.3">
      <c r="A9" s="1">
        <v>45846</v>
      </c>
      <c r="B9">
        <v>57256.3</v>
      </c>
    </row>
    <row r="10" spans="1:5" x14ac:dyDescent="0.3">
      <c r="A10" s="1">
        <v>45847</v>
      </c>
      <c r="B10">
        <v>57213.55</v>
      </c>
    </row>
    <row r="11" spans="1:5" x14ac:dyDescent="0.3">
      <c r="A11" s="1">
        <v>45848</v>
      </c>
      <c r="B11">
        <v>56956</v>
      </c>
    </row>
    <row r="12" spans="1:5" x14ac:dyDescent="0.3">
      <c r="A12" s="1">
        <v>45849</v>
      </c>
      <c r="B12">
        <v>56754.7</v>
      </c>
    </row>
    <row r="13" spans="1:5" x14ac:dyDescent="0.3">
      <c r="A13" s="1">
        <v>45850</v>
      </c>
      <c r="B13">
        <v>56754.7</v>
      </c>
    </row>
    <row r="14" spans="1:5" x14ac:dyDescent="0.3">
      <c r="A14" s="1">
        <v>45851</v>
      </c>
      <c r="B14">
        <v>56754.7</v>
      </c>
    </row>
    <row r="15" spans="1:5" x14ac:dyDescent="0.3">
      <c r="A15" s="1">
        <v>45852</v>
      </c>
      <c r="B15">
        <v>56765.35</v>
      </c>
    </row>
    <row r="16" spans="1:5" x14ac:dyDescent="0.3">
      <c r="A16" s="1">
        <v>45853</v>
      </c>
      <c r="B16">
        <v>57006.65</v>
      </c>
    </row>
    <row r="17" spans="1:2" x14ac:dyDescent="0.3">
      <c r="A17" s="1">
        <v>45854</v>
      </c>
      <c r="B17">
        <v>57168.95</v>
      </c>
    </row>
    <row r="18" spans="1:2" x14ac:dyDescent="0.3">
      <c r="A18" s="1">
        <v>45855</v>
      </c>
      <c r="B18">
        <v>56828.800000000003</v>
      </c>
    </row>
    <row r="19" spans="1:2" x14ac:dyDescent="0.3">
      <c r="A19" s="1">
        <v>45856</v>
      </c>
      <c r="B19">
        <v>56283</v>
      </c>
    </row>
    <row r="20" spans="1:2" x14ac:dyDescent="0.3">
      <c r="A20" s="1">
        <v>45857</v>
      </c>
      <c r="B20">
        <v>56283</v>
      </c>
    </row>
    <row r="21" spans="1:2" x14ac:dyDescent="0.3">
      <c r="A21" s="1">
        <v>45858</v>
      </c>
      <c r="B21">
        <v>56283</v>
      </c>
    </row>
    <row r="22" spans="1:2" x14ac:dyDescent="0.3">
      <c r="A22" s="1">
        <v>45859</v>
      </c>
      <c r="B22">
        <v>56952.75</v>
      </c>
    </row>
    <row r="23" spans="1:2" x14ac:dyDescent="0.3">
      <c r="A23" s="1">
        <v>45860</v>
      </c>
      <c r="B23">
        <v>56756</v>
      </c>
    </row>
    <row r="24" spans="1:2" x14ac:dyDescent="0.3">
      <c r="A24" s="1">
        <v>45861</v>
      </c>
      <c r="B24">
        <v>57210.45</v>
      </c>
    </row>
    <row r="25" spans="1:2" x14ac:dyDescent="0.3">
      <c r="A25" s="1">
        <v>45862</v>
      </c>
      <c r="B25">
        <v>57066.05</v>
      </c>
    </row>
    <row r="26" spans="1:2" x14ac:dyDescent="0.3">
      <c r="A26" s="1">
        <v>45863</v>
      </c>
      <c r="B26">
        <v>56528.9</v>
      </c>
    </row>
    <row r="27" spans="1:2" x14ac:dyDescent="0.3">
      <c r="A27" s="1">
        <v>45864</v>
      </c>
      <c r="B27">
        <v>56528.9</v>
      </c>
    </row>
    <row r="28" spans="1:2" x14ac:dyDescent="0.3">
      <c r="A28" s="1">
        <v>45865</v>
      </c>
      <c r="B28">
        <v>56528.9</v>
      </c>
    </row>
    <row r="29" spans="1:2" x14ac:dyDescent="0.3">
      <c r="A29" s="1">
        <v>45866</v>
      </c>
      <c r="B29">
        <v>56084.9</v>
      </c>
    </row>
    <row r="30" spans="1:2" x14ac:dyDescent="0.3">
      <c r="A30" s="1">
        <v>45867</v>
      </c>
      <c r="B30">
        <v>56222</v>
      </c>
    </row>
    <row r="31" spans="1:2" x14ac:dyDescent="0.3">
      <c r="A31" s="1">
        <v>45868</v>
      </c>
      <c r="B31">
        <v>56150.7</v>
      </c>
    </row>
    <row r="32" spans="1:2" x14ac:dyDescent="0.3">
      <c r="A32" s="1">
        <v>45869</v>
      </c>
      <c r="B32">
        <v>55961.95</v>
      </c>
    </row>
    <row r="33" spans="1:2" x14ac:dyDescent="0.3">
      <c r="A33" s="1">
        <v>45870</v>
      </c>
      <c r="B33">
        <v>55617.599999999999</v>
      </c>
    </row>
    <row r="34" spans="1:2" x14ac:dyDescent="0.3">
      <c r="A34" s="1">
        <v>45871</v>
      </c>
      <c r="B34">
        <v>55617.599999999999</v>
      </c>
    </row>
    <row r="35" spans="1:2" x14ac:dyDescent="0.3">
      <c r="A35" s="1">
        <v>45872</v>
      </c>
      <c r="B35">
        <v>55617.599999999999</v>
      </c>
    </row>
    <row r="36" spans="1:2" x14ac:dyDescent="0.3">
      <c r="A36" s="1">
        <v>45873</v>
      </c>
      <c r="B36">
        <v>55619.35</v>
      </c>
    </row>
    <row r="37" spans="1:2" x14ac:dyDescent="0.3">
      <c r="A37" s="1">
        <v>45874</v>
      </c>
      <c r="B37">
        <v>55360.25</v>
      </c>
    </row>
    <row r="38" spans="1:2" x14ac:dyDescent="0.3">
      <c r="A38" s="1">
        <v>45875</v>
      </c>
      <c r="B38">
        <v>55411.15</v>
      </c>
    </row>
    <row r="39" spans="1:2" x14ac:dyDescent="0.3">
      <c r="A39" s="1">
        <v>45876</v>
      </c>
      <c r="B39">
        <v>55521.15</v>
      </c>
    </row>
    <row r="40" spans="1:2" x14ac:dyDescent="0.3">
      <c r="A40" s="1">
        <v>45877</v>
      </c>
      <c r="B40">
        <v>55004.9</v>
      </c>
    </row>
    <row r="41" spans="1:2" x14ac:dyDescent="0.3">
      <c r="A41" s="1">
        <v>45878</v>
      </c>
      <c r="B41">
        <v>55004.9</v>
      </c>
    </row>
    <row r="42" spans="1:2" x14ac:dyDescent="0.3">
      <c r="A42" s="1">
        <v>45879</v>
      </c>
      <c r="B42">
        <v>55004.9</v>
      </c>
    </row>
    <row r="43" spans="1:2" x14ac:dyDescent="0.3">
      <c r="A43" s="1">
        <v>45880</v>
      </c>
      <c r="B43">
        <v>55510.75</v>
      </c>
    </row>
    <row r="44" spans="1:2" x14ac:dyDescent="0.3">
      <c r="A44" s="1">
        <v>45881</v>
      </c>
      <c r="B44">
        <v>55043.7</v>
      </c>
    </row>
    <row r="45" spans="1:2" x14ac:dyDescent="0.3">
      <c r="A45" s="1">
        <v>45882</v>
      </c>
      <c r="B45">
        <v>55181.45</v>
      </c>
    </row>
    <row r="46" spans="1:2" x14ac:dyDescent="0.3">
      <c r="A46" s="1">
        <v>45883</v>
      </c>
      <c r="B46">
        <v>55341.85</v>
      </c>
    </row>
    <row r="47" spans="1:2" x14ac:dyDescent="0.3">
      <c r="A47" s="1">
        <v>45884</v>
      </c>
      <c r="B47">
        <v>55341.85</v>
      </c>
    </row>
    <row r="48" spans="1:2" x14ac:dyDescent="0.3">
      <c r="A48" s="1">
        <v>45885</v>
      </c>
      <c r="B48">
        <v>55341.85</v>
      </c>
    </row>
    <row r="49" spans="1:2" x14ac:dyDescent="0.3">
      <c r="A49" s="1">
        <v>45886</v>
      </c>
      <c r="B49">
        <v>55341.85</v>
      </c>
    </row>
    <row r="50" spans="1:2" x14ac:dyDescent="0.3">
      <c r="A50" s="1">
        <v>45887</v>
      </c>
      <c r="B50">
        <v>55734.9</v>
      </c>
    </row>
    <row r="51" spans="1:2" x14ac:dyDescent="0.3">
      <c r="A51" s="1">
        <v>45888</v>
      </c>
      <c r="B51">
        <v>55865.15</v>
      </c>
    </row>
    <row r="52" spans="1:2" x14ac:dyDescent="0.3">
      <c r="A52" s="1">
        <v>45889</v>
      </c>
      <c r="B52">
        <v>55698.5</v>
      </c>
    </row>
    <row r="53" spans="1:2" x14ac:dyDescent="0.3">
      <c r="A53" s="1">
        <v>45890</v>
      </c>
      <c r="B53">
        <v>55755.45</v>
      </c>
    </row>
    <row r="54" spans="1:2" x14ac:dyDescent="0.3">
      <c r="A54" s="1">
        <v>45891</v>
      </c>
      <c r="B54">
        <v>55149.4</v>
      </c>
    </row>
    <row r="55" spans="1:2" x14ac:dyDescent="0.3">
      <c r="A55" s="1">
        <v>45892</v>
      </c>
      <c r="B55">
        <v>55149.4</v>
      </c>
    </row>
    <row r="56" spans="1:2" x14ac:dyDescent="0.3">
      <c r="A56" s="1">
        <v>45893</v>
      </c>
      <c r="B56">
        <v>55149.4</v>
      </c>
    </row>
    <row r="57" spans="1:2" x14ac:dyDescent="0.3">
      <c r="A57" s="1">
        <v>45894</v>
      </c>
      <c r="B57">
        <v>55139.3</v>
      </c>
    </row>
    <row r="58" spans="1:2" x14ac:dyDescent="0.3">
      <c r="A58" s="1">
        <v>45895</v>
      </c>
      <c r="B58">
        <v>54450.45</v>
      </c>
    </row>
    <row r="59" spans="1:2" x14ac:dyDescent="0.3">
      <c r="A59" s="1">
        <v>45896</v>
      </c>
      <c r="B59">
        <v>54450.45</v>
      </c>
    </row>
    <row r="60" spans="1:2" x14ac:dyDescent="0.3">
      <c r="A60" s="1">
        <v>45897</v>
      </c>
      <c r="B60">
        <v>53820.35</v>
      </c>
    </row>
    <row r="61" spans="1:2" x14ac:dyDescent="0.3">
      <c r="A61" s="1">
        <v>45898</v>
      </c>
      <c r="B61">
        <v>53655.65</v>
      </c>
    </row>
    <row r="62" spans="1:2" x14ac:dyDescent="0.3">
      <c r="A62" s="1">
        <v>45899</v>
      </c>
      <c r="B62">
        <v>53655.65</v>
      </c>
    </row>
    <row r="63" spans="1:2" x14ac:dyDescent="0.3">
      <c r="A63" s="1">
        <v>45900</v>
      </c>
      <c r="B63">
        <v>53655.65</v>
      </c>
    </row>
    <row r="64" spans="1:2" x14ac:dyDescent="0.3">
      <c r="A64" s="1">
        <v>45901</v>
      </c>
      <c r="B64">
        <v>54002.45</v>
      </c>
    </row>
    <row r="65" spans="1:2" x14ac:dyDescent="0.3">
      <c r="A65" s="1">
        <v>45902</v>
      </c>
      <c r="B65">
        <v>53661</v>
      </c>
    </row>
    <row r="66" spans="1:2" x14ac:dyDescent="0.3">
      <c r="A66" s="1">
        <v>45903</v>
      </c>
      <c r="B66">
        <v>54067.55</v>
      </c>
    </row>
    <row r="67" spans="1:2" x14ac:dyDescent="0.3">
      <c r="A67" s="1">
        <v>45904</v>
      </c>
      <c r="B67">
        <v>54075.45</v>
      </c>
    </row>
    <row r="68" spans="1:2" x14ac:dyDescent="0.3">
      <c r="A68" s="1">
        <v>45905</v>
      </c>
      <c r="B68">
        <v>54114.55</v>
      </c>
    </row>
    <row r="69" spans="1:2" x14ac:dyDescent="0.3">
      <c r="A69" s="1">
        <v>45906</v>
      </c>
      <c r="B69">
        <v>54114.55</v>
      </c>
    </row>
    <row r="70" spans="1:2" x14ac:dyDescent="0.3">
      <c r="A70" s="1">
        <v>45907</v>
      </c>
      <c r="B70">
        <v>54114.55</v>
      </c>
    </row>
    <row r="71" spans="1:2" x14ac:dyDescent="0.3">
      <c r="A71" s="1">
        <v>45908</v>
      </c>
      <c r="B71">
        <v>54186.9</v>
      </c>
    </row>
    <row r="72" spans="1:2" x14ac:dyDescent="0.3">
      <c r="A72" s="1">
        <v>45909</v>
      </c>
      <c r="B72">
        <v>54216.1</v>
      </c>
    </row>
    <row r="73" spans="1:2" x14ac:dyDescent="0.3">
      <c r="A73" s="1">
        <v>45910</v>
      </c>
      <c r="B73">
        <v>54536</v>
      </c>
    </row>
    <row r="74" spans="1:2" x14ac:dyDescent="0.3">
      <c r="A74" s="1">
        <v>45911</v>
      </c>
      <c r="B74">
        <v>54669.599999999999</v>
      </c>
    </row>
    <row r="75" spans="1:2" x14ac:dyDescent="0.3">
      <c r="A75" s="1">
        <v>45912</v>
      </c>
      <c r="B75">
        <v>54809.3</v>
      </c>
    </row>
    <row r="76" spans="1:2" x14ac:dyDescent="0.3">
      <c r="A76" s="1">
        <v>45913</v>
      </c>
      <c r="B76">
        <v>54809.3</v>
      </c>
    </row>
    <row r="77" spans="1:2" x14ac:dyDescent="0.3">
      <c r="A77" s="1">
        <v>45914</v>
      </c>
      <c r="B77">
        <v>54809.3</v>
      </c>
    </row>
    <row r="78" spans="1:2" x14ac:dyDescent="0.3">
      <c r="A78" s="1">
        <v>45915</v>
      </c>
      <c r="B78">
        <v>54887.85</v>
      </c>
    </row>
    <row r="79" spans="1:2" x14ac:dyDescent="0.3">
      <c r="A79" s="1">
        <v>45916</v>
      </c>
      <c r="B79">
        <v>55147.6</v>
      </c>
    </row>
    <row r="80" spans="1:2" x14ac:dyDescent="0.3">
      <c r="A80" s="1">
        <v>45917</v>
      </c>
      <c r="B80">
        <v>55493.3</v>
      </c>
    </row>
    <row r="81" spans="1:2" x14ac:dyDescent="0.3">
      <c r="A81" s="1">
        <v>45918</v>
      </c>
      <c r="B81">
        <v>55727.45</v>
      </c>
    </row>
    <row r="82" spans="1:2" x14ac:dyDescent="0.3">
      <c r="A82" s="1">
        <v>45919</v>
      </c>
      <c r="B82">
        <v>55458.85</v>
      </c>
    </row>
    <row r="83" spans="1:2" x14ac:dyDescent="0.3">
      <c r="A83" s="1">
        <v>45920</v>
      </c>
      <c r="B83">
        <v>55458.85</v>
      </c>
    </row>
    <row r="84" spans="1:2" x14ac:dyDescent="0.3">
      <c r="A84" s="1">
        <v>45921</v>
      </c>
      <c r="B84">
        <v>55458.85</v>
      </c>
    </row>
    <row r="85" spans="1:2" x14ac:dyDescent="0.3">
      <c r="A85" s="1">
        <v>45922</v>
      </c>
      <c r="B85">
        <v>55284.75</v>
      </c>
    </row>
    <row r="86" spans="1:2" x14ac:dyDescent="0.3">
      <c r="A86" s="1">
        <v>45923</v>
      </c>
      <c r="B86">
        <v>55509.75</v>
      </c>
    </row>
    <row r="87" spans="1:2" x14ac:dyDescent="0.3">
      <c r="A87" s="1">
        <v>45924</v>
      </c>
      <c r="B87">
        <v>55121.5</v>
      </c>
    </row>
    <row r="88" spans="1:2" x14ac:dyDescent="0.3">
      <c r="A88" s="1">
        <v>45925</v>
      </c>
      <c r="B88">
        <v>54976.2</v>
      </c>
    </row>
    <row r="89" spans="1:2" x14ac:dyDescent="0.3">
      <c r="A89" s="1">
        <v>45926</v>
      </c>
      <c r="B89">
        <v>54389.35</v>
      </c>
    </row>
    <row r="90" spans="1:2" x14ac:dyDescent="0.3">
      <c r="A90" s="1">
        <v>45927</v>
      </c>
      <c r="B90">
        <v>54389.35</v>
      </c>
    </row>
    <row r="91" spans="1:2" x14ac:dyDescent="0.3">
      <c r="A91" s="1">
        <v>45928</v>
      </c>
      <c r="B91">
        <v>54389.35</v>
      </c>
    </row>
    <row r="92" spans="1:2" x14ac:dyDescent="0.3">
      <c r="A92" s="1">
        <v>45929</v>
      </c>
      <c r="B92">
        <v>54461</v>
      </c>
    </row>
    <row r="93" spans="1:2" x14ac:dyDescent="0.3">
      <c r="A93" s="1">
        <v>45930</v>
      </c>
      <c r="B93">
        <v>54635.85</v>
      </c>
    </row>
    <row r="94" spans="1:2" x14ac:dyDescent="0.3">
      <c r="A94" s="1">
        <v>45931</v>
      </c>
      <c r="B94">
        <v>55347.95</v>
      </c>
    </row>
    <row r="95" spans="1:2" x14ac:dyDescent="0.3">
      <c r="A95" s="1">
        <v>45932</v>
      </c>
      <c r="B95">
        <v>55347.95</v>
      </c>
    </row>
    <row r="96" spans="1:2" x14ac:dyDescent="0.3">
      <c r="A96" s="1">
        <v>45933</v>
      </c>
      <c r="B96">
        <v>55589.25</v>
      </c>
    </row>
    <row r="97" spans="1:2" x14ac:dyDescent="0.3">
      <c r="A97" s="1">
        <v>45934</v>
      </c>
      <c r="B97">
        <v>55589.25</v>
      </c>
    </row>
    <row r="98" spans="1:2" x14ac:dyDescent="0.3">
      <c r="A98" s="1">
        <v>45935</v>
      </c>
      <c r="B98">
        <v>55589.25</v>
      </c>
    </row>
    <row r="99" spans="1:2" x14ac:dyDescent="0.3">
      <c r="A99" s="1">
        <v>45936</v>
      </c>
      <c r="B99">
        <v>56104.85</v>
      </c>
    </row>
    <row r="100" spans="1:2" x14ac:dyDescent="0.3">
      <c r="A100" s="1">
        <v>45937</v>
      </c>
      <c r="B100">
        <v>56239.35</v>
      </c>
    </row>
    <row r="101" spans="1:2" x14ac:dyDescent="0.3">
      <c r="A101" s="1">
        <v>45938</v>
      </c>
      <c r="B101">
        <v>56018.25</v>
      </c>
    </row>
    <row r="102" spans="1:2" x14ac:dyDescent="0.3">
      <c r="A102" s="1">
        <v>45939</v>
      </c>
      <c r="B102">
        <v>56192.05</v>
      </c>
    </row>
    <row r="103" spans="1:2" x14ac:dyDescent="0.3">
      <c r="A103" s="1">
        <v>45940</v>
      </c>
      <c r="B103">
        <v>56609.75</v>
      </c>
    </row>
    <row r="104" spans="1:2" x14ac:dyDescent="0.3">
      <c r="A104" s="1">
        <v>45941</v>
      </c>
      <c r="B104">
        <v>56609.75</v>
      </c>
    </row>
    <row r="105" spans="1:2" x14ac:dyDescent="0.3">
      <c r="A105" s="1">
        <v>45942</v>
      </c>
      <c r="B105">
        <v>56609.75</v>
      </c>
    </row>
    <row r="106" spans="1:2" x14ac:dyDescent="0.3">
      <c r="A106" s="1">
        <v>45943</v>
      </c>
      <c r="B106">
        <v>56625</v>
      </c>
    </row>
    <row r="107" spans="1:2" x14ac:dyDescent="0.3">
      <c r="A107" s="1">
        <v>45944</v>
      </c>
      <c r="B107">
        <v>56496.45</v>
      </c>
    </row>
    <row r="108" spans="1:2" x14ac:dyDescent="0.3">
      <c r="A108" s="1">
        <v>45945</v>
      </c>
      <c r="B108">
        <v>56799.9</v>
      </c>
    </row>
    <row r="109" spans="1:2" x14ac:dyDescent="0.3">
      <c r="A109" s="1">
        <v>45946</v>
      </c>
      <c r="B109">
        <v>57422.55</v>
      </c>
    </row>
    <row r="110" spans="1:2" x14ac:dyDescent="0.3">
      <c r="A110" s="1">
        <v>45947</v>
      </c>
      <c r="B110">
        <v>57713.35</v>
      </c>
    </row>
    <row r="111" spans="1:2" x14ac:dyDescent="0.3">
      <c r="A111" s="1">
        <v>45948</v>
      </c>
      <c r="B111">
        <v>57713.35</v>
      </c>
    </row>
    <row r="112" spans="1:2" x14ac:dyDescent="0.3">
      <c r="A112" s="1">
        <v>45949</v>
      </c>
      <c r="B112">
        <v>57713.35</v>
      </c>
    </row>
    <row r="113" spans="1:2" x14ac:dyDescent="0.3">
      <c r="A113" s="1">
        <v>45950</v>
      </c>
      <c r="B113">
        <v>58033.2</v>
      </c>
    </row>
    <row r="114" spans="1:2" x14ac:dyDescent="0.3">
      <c r="A114" s="1">
        <v>45951</v>
      </c>
      <c r="B114">
        <v>58007.199999999997</v>
      </c>
    </row>
    <row r="115" spans="1:2" x14ac:dyDescent="0.3">
      <c r="A115" s="1">
        <v>45952</v>
      </c>
      <c r="B115">
        <v>58007.199999999997</v>
      </c>
    </row>
    <row r="116" spans="1:2" x14ac:dyDescent="0.3">
      <c r="A116" s="1">
        <v>45953</v>
      </c>
      <c r="B116">
        <v>58078.05</v>
      </c>
    </row>
    <row r="117" spans="1:2" x14ac:dyDescent="0.3">
      <c r="A117" s="1">
        <v>45954</v>
      </c>
      <c r="B117">
        <v>57699.6</v>
      </c>
    </row>
    <row r="118" spans="1:2" x14ac:dyDescent="0.3">
      <c r="A118" s="1">
        <v>45955</v>
      </c>
      <c r="B118">
        <v>57699.6</v>
      </c>
    </row>
    <row r="119" spans="1:2" x14ac:dyDescent="0.3">
      <c r="A119" s="1">
        <v>45956</v>
      </c>
      <c r="B119">
        <v>57699.6</v>
      </c>
    </row>
    <row r="120" spans="1:2" x14ac:dyDescent="0.3">
      <c r="A120" s="1">
        <v>45957</v>
      </c>
      <c r="B120">
        <v>58114.25</v>
      </c>
    </row>
    <row r="121" spans="1:2" x14ac:dyDescent="0.3">
      <c r="A121" s="1">
        <v>45958</v>
      </c>
      <c r="B121">
        <v>58214.1</v>
      </c>
    </row>
    <row r="122" spans="1:2" x14ac:dyDescent="0.3">
      <c r="A122" s="1">
        <v>45959</v>
      </c>
      <c r="B122">
        <v>58385.25</v>
      </c>
    </row>
    <row r="123" spans="1:2" x14ac:dyDescent="0.3">
      <c r="A123" s="1">
        <v>45960</v>
      </c>
      <c r="B123">
        <v>58031.1</v>
      </c>
    </row>
    <row r="124" spans="1:2" x14ac:dyDescent="0.3">
      <c r="A124" s="1">
        <v>45961</v>
      </c>
      <c r="B124">
        <v>57776.35</v>
      </c>
    </row>
    <row r="125" spans="1:2" x14ac:dyDescent="0.3">
      <c r="A125" s="1">
        <v>45962</v>
      </c>
      <c r="B125">
        <v>57776.35</v>
      </c>
    </row>
    <row r="126" spans="1:2" x14ac:dyDescent="0.3">
      <c r="A126" s="1">
        <v>45963</v>
      </c>
      <c r="B126">
        <v>57776.35</v>
      </c>
    </row>
    <row r="127" spans="1:2" x14ac:dyDescent="0.3">
      <c r="A127" s="1">
        <v>45964</v>
      </c>
      <c r="B127">
        <v>58101.45</v>
      </c>
    </row>
    <row r="128" spans="1:2" x14ac:dyDescent="0.3">
      <c r="A128" s="1">
        <v>45965</v>
      </c>
      <c r="B128">
        <v>57827.05</v>
      </c>
    </row>
    <row r="129" spans="1:2" x14ac:dyDescent="0.3">
      <c r="A129" s="1">
        <v>45966</v>
      </c>
      <c r="B129">
        <v>57827.05</v>
      </c>
    </row>
    <row r="130" spans="1:2" x14ac:dyDescent="0.3">
      <c r="A130" s="1">
        <v>45967</v>
      </c>
      <c r="B130">
        <v>57554.25</v>
      </c>
    </row>
    <row r="131" spans="1:2" x14ac:dyDescent="0.3">
      <c r="A131" s="1">
        <v>45968</v>
      </c>
      <c r="B131">
        <v>57876.800000000003</v>
      </c>
    </row>
    <row r="132" spans="1:2" x14ac:dyDescent="0.3">
      <c r="A132" s="1">
        <v>45969</v>
      </c>
      <c r="B132">
        <v>57876.800000000003</v>
      </c>
    </row>
    <row r="133" spans="1:2" x14ac:dyDescent="0.3">
      <c r="A133" s="1">
        <v>45970</v>
      </c>
      <c r="B133">
        <v>57876.800000000003</v>
      </c>
    </row>
    <row r="134" spans="1:2" x14ac:dyDescent="0.3">
      <c r="A134" s="1">
        <v>45971</v>
      </c>
      <c r="B134">
        <v>57937.55</v>
      </c>
    </row>
    <row r="135" spans="1:2" x14ac:dyDescent="0.3">
      <c r="A135" s="1">
        <v>45972</v>
      </c>
      <c r="B135">
        <v>58138.15</v>
      </c>
    </row>
    <row r="136" spans="1:2" x14ac:dyDescent="0.3">
      <c r="A136" s="1">
        <v>45973</v>
      </c>
      <c r="B136">
        <v>58274.65</v>
      </c>
    </row>
    <row r="137" spans="1:2" x14ac:dyDescent="0.3">
      <c r="A137" s="1">
        <v>45974</v>
      </c>
      <c r="B137">
        <v>58381.95</v>
      </c>
    </row>
    <row r="138" spans="1:2" x14ac:dyDescent="0.3">
      <c r="A138" s="1">
        <v>45975</v>
      </c>
      <c r="B138">
        <v>58517.55</v>
      </c>
    </row>
    <row r="139" spans="1:2" x14ac:dyDescent="0.3">
      <c r="A139" s="1">
        <v>45976</v>
      </c>
      <c r="B139">
        <v>58517.55</v>
      </c>
    </row>
    <row r="140" spans="1:2" x14ac:dyDescent="0.3">
      <c r="A140" s="1">
        <v>45977</v>
      </c>
      <c r="B140">
        <v>58517.55</v>
      </c>
    </row>
    <row r="141" spans="1:2" x14ac:dyDescent="0.3">
      <c r="A141" s="1">
        <v>45978</v>
      </c>
      <c r="B141">
        <v>58962.7</v>
      </c>
    </row>
    <row r="142" spans="1:2" x14ac:dyDescent="0.3">
      <c r="A142" s="1">
        <v>45979</v>
      </c>
      <c r="B142">
        <v>58899.25</v>
      </c>
    </row>
    <row r="143" spans="1:2" x14ac:dyDescent="0.3">
      <c r="A143" s="1">
        <v>45980</v>
      </c>
      <c r="B143">
        <v>59216.05</v>
      </c>
    </row>
    <row r="144" spans="1:2" x14ac:dyDescent="0.3">
      <c r="A144" s="1">
        <v>45981</v>
      </c>
      <c r="B144">
        <v>59347.7</v>
      </c>
    </row>
    <row r="145" spans="1:2" x14ac:dyDescent="0.3">
      <c r="A145" s="1">
        <v>45982</v>
      </c>
      <c r="B145">
        <v>58867.7</v>
      </c>
    </row>
    <row r="146" spans="1:2" x14ac:dyDescent="0.3">
      <c r="A146" s="1">
        <v>45983</v>
      </c>
      <c r="B146">
        <v>58867.7</v>
      </c>
    </row>
    <row r="147" spans="1:2" x14ac:dyDescent="0.3">
      <c r="A147" s="1">
        <v>45984</v>
      </c>
      <c r="B147">
        <v>58867.7</v>
      </c>
    </row>
    <row r="148" spans="1:2" x14ac:dyDescent="0.3">
      <c r="A148" s="1">
        <v>45985</v>
      </c>
      <c r="B148">
        <v>58835.35</v>
      </c>
    </row>
    <row r="149" spans="1:2" x14ac:dyDescent="0.3">
      <c r="A149" s="1">
        <v>45986</v>
      </c>
      <c r="B149">
        <v>58820.3</v>
      </c>
    </row>
    <row r="150" spans="1:2" x14ac:dyDescent="0.3">
      <c r="A150" s="1">
        <v>45987</v>
      </c>
      <c r="B150">
        <v>59528.05</v>
      </c>
    </row>
    <row r="151" spans="1:2" x14ac:dyDescent="0.3">
      <c r="A151" s="1">
        <v>45988</v>
      </c>
      <c r="B151">
        <v>59737.3</v>
      </c>
    </row>
    <row r="152" spans="1:2" x14ac:dyDescent="0.3">
      <c r="A152" s="1">
        <v>45989</v>
      </c>
      <c r="B152">
        <v>59752.7</v>
      </c>
    </row>
    <row r="153" spans="1:2" x14ac:dyDescent="0.3">
      <c r="A153" s="1">
        <v>45990</v>
      </c>
      <c r="B153">
        <v>59752.7</v>
      </c>
    </row>
    <row r="154" spans="1:2" x14ac:dyDescent="0.3">
      <c r="A154" s="1">
        <v>45991</v>
      </c>
      <c r="B154">
        <v>59752.7</v>
      </c>
    </row>
    <row r="155" spans="1:2" x14ac:dyDescent="0.3">
      <c r="A155" s="1">
        <v>45992</v>
      </c>
      <c r="B155">
        <v>59681.35</v>
      </c>
    </row>
    <row r="156" spans="1:2" x14ac:dyDescent="0.3">
      <c r="A156" s="1">
        <v>45993</v>
      </c>
      <c r="B156">
        <v>59273.8</v>
      </c>
    </row>
    <row r="157" spans="1:2" x14ac:dyDescent="0.3">
      <c r="A157" s="1">
        <v>45994</v>
      </c>
      <c r="B157">
        <v>59348.25</v>
      </c>
    </row>
    <row r="158" spans="1:2" x14ac:dyDescent="0.3">
      <c r="A158" s="1">
        <v>45995</v>
      </c>
      <c r="B158">
        <v>59288.7</v>
      </c>
    </row>
    <row r="159" spans="1:2" x14ac:dyDescent="0.3">
      <c r="A159" s="1">
        <v>45996</v>
      </c>
      <c r="B159">
        <v>59777.2</v>
      </c>
    </row>
    <row r="160" spans="1:2" x14ac:dyDescent="0.3">
      <c r="A160" s="1">
        <v>45997</v>
      </c>
      <c r="B160">
        <v>59777.2</v>
      </c>
    </row>
    <row r="161" spans="1:5" x14ac:dyDescent="0.3">
      <c r="A161" s="1">
        <v>45998</v>
      </c>
      <c r="B161">
        <v>59777.2</v>
      </c>
      <c r="C161">
        <v>59777.2</v>
      </c>
      <c r="D161" s="2">
        <v>59777.2</v>
      </c>
      <c r="E161" s="2">
        <v>59777.2</v>
      </c>
    </row>
    <row r="162" spans="1:5" x14ac:dyDescent="0.3">
      <c r="A162" s="1">
        <v>45999</v>
      </c>
      <c r="C162">
        <f t="shared" ref="C162:C193" si="0">_xlfn.FORECAST.ETS(A162,$B$2:$B$161,$A$2:$A$161,1,1)</f>
        <v>59799.246445083401</v>
      </c>
      <c r="D162" s="2">
        <f t="shared" ref="D162:D193" si="1">C162-_xlfn.FORECAST.ETS.CONFINT(A162,$B$2:$B$161,$A$2:$A$161,0.95,1,1)</f>
        <v>59292.551512531943</v>
      </c>
      <c r="E162" s="2">
        <f t="shared" ref="E162:E193" si="2">C162+_xlfn.FORECAST.ETS.CONFINT(A162,$B$2:$B$161,$A$2:$A$161,0.95,1,1)</f>
        <v>60305.941377634859</v>
      </c>
    </row>
    <row r="163" spans="1:5" x14ac:dyDescent="0.3">
      <c r="A163" s="1">
        <v>46000</v>
      </c>
      <c r="C163">
        <f t="shared" si="0"/>
        <v>59819.521772750239</v>
      </c>
      <c r="D163" s="2">
        <f t="shared" si="1"/>
        <v>59137.494394812311</v>
      </c>
      <c r="E163" s="2">
        <f t="shared" si="2"/>
        <v>60501.549150688166</v>
      </c>
    </row>
    <row r="164" spans="1:5" x14ac:dyDescent="0.3">
      <c r="A164" s="1">
        <v>46001</v>
      </c>
      <c r="C164">
        <f t="shared" si="0"/>
        <v>59839.797100417069</v>
      </c>
      <c r="D164" s="2">
        <f t="shared" si="1"/>
        <v>59018.794155466123</v>
      </c>
      <c r="E164" s="2">
        <f t="shared" si="2"/>
        <v>60660.800045368014</v>
      </c>
    </row>
    <row r="165" spans="1:5" x14ac:dyDescent="0.3">
      <c r="A165" s="1">
        <v>46002</v>
      </c>
      <c r="C165">
        <f t="shared" si="0"/>
        <v>59860.072428083906</v>
      </c>
      <c r="D165" s="2">
        <f t="shared" si="1"/>
        <v>58920.182146063424</v>
      </c>
      <c r="E165" s="2">
        <f t="shared" si="2"/>
        <v>60799.962710104388</v>
      </c>
    </row>
    <row r="166" spans="1:5" x14ac:dyDescent="0.3">
      <c r="A166" s="1">
        <v>46003</v>
      </c>
      <c r="C166">
        <f t="shared" si="0"/>
        <v>59880.347755750736</v>
      </c>
      <c r="D166" s="2">
        <f t="shared" si="1"/>
        <v>58834.78303867596</v>
      </c>
      <c r="E166" s="2">
        <f t="shared" si="2"/>
        <v>60925.912472825512</v>
      </c>
    </row>
    <row r="167" spans="1:5" x14ac:dyDescent="0.3">
      <c r="A167" s="1">
        <v>46004</v>
      </c>
      <c r="C167">
        <f t="shared" si="0"/>
        <v>59900.623083417573</v>
      </c>
      <c r="D167" s="2">
        <f t="shared" si="1"/>
        <v>58758.921784844701</v>
      </c>
      <c r="E167" s="2">
        <f t="shared" si="2"/>
        <v>61042.324381990446</v>
      </c>
    </row>
    <row r="168" spans="1:5" x14ac:dyDescent="0.3">
      <c r="A168" s="1">
        <v>46005</v>
      </c>
      <c r="C168">
        <f t="shared" si="0"/>
        <v>59920.898411084403</v>
      </c>
      <c r="D168" s="2">
        <f t="shared" si="1"/>
        <v>58690.360687798355</v>
      </c>
      <c r="E168" s="2">
        <f t="shared" si="2"/>
        <v>61151.436134370451</v>
      </c>
    </row>
    <row r="169" spans="1:5" x14ac:dyDescent="0.3">
      <c r="A169" s="1">
        <v>46006</v>
      </c>
      <c r="C169">
        <f t="shared" si="0"/>
        <v>59941.17373875124</v>
      </c>
      <c r="D169" s="2">
        <f t="shared" si="1"/>
        <v>58627.617576696386</v>
      </c>
      <c r="E169" s="2">
        <f t="shared" si="2"/>
        <v>61254.729900806095</v>
      </c>
    </row>
    <row r="170" spans="1:5" x14ac:dyDescent="0.3">
      <c r="A170" s="1">
        <v>46007</v>
      </c>
      <c r="C170">
        <f t="shared" si="0"/>
        <v>59961.44906641807</v>
      </c>
      <c r="D170" s="2">
        <f t="shared" si="1"/>
        <v>58569.650777882962</v>
      </c>
      <c r="E170" s="2">
        <f t="shared" si="2"/>
        <v>61353.247354953179</v>
      </c>
    </row>
    <row r="171" spans="1:5" x14ac:dyDescent="0.3">
      <c r="A171" s="1">
        <v>46008</v>
      </c>
      <c r="C171">
        <f t="shared" si="0"/>
        <v>59981.724394084908</v>
      </c>
      <c r="D171" s="2">
        <f t="shared" si="1"/>
        <v>58515.695179778282</v>
      </c>
      <c r="E171" s="2">
        <f t="shared" si="2"/>
        <v>61447.753608391533</v>
      </c>
    </row>
    <row r="172" spans="1:5" x14ac:dyDescent="0.3">
      <c r="A172" s="1">
        <v>46009</v>
      </c>
      <c r="C172">
        <f t="shared" si="0"/>
        <v>60001.999721751738</v>
      </c>
      <c r="D172" s="2">
        <f t="shared" si="1"/>
        <v>58465.169266546778</v>
      </c>
      <c r="E172" s="2">
        <f t="shared" si="2"/>
        <v>61538.830176956697</v>
      </c>
    </row>
    <row r="173" spans="1:5" x14ac:dyDescent="0.3">
      <c r="A173" s="1">
        <v>46010</v>
      </c>
      <c r="C173">
        <f t="shared" si="0"/>
        <v>60022.275049418575</v>
      </c>
      <c r="D173" s="2">
        <f t="shared" si="1"/>
        <v>58417.618836398564</v>
      </c>
      <c r="E173" s="2">
        <f t="shared" si="2"/>
        <v>61626.931262438586</v>
      </c>
    </row>
    <row r="174" spans="1:5" x14ac:dyDescent="0.3">
      <c r="A174" s="1">
        <v>46011</v>
      </c>
      <c r="C174">
        <f t="shared" si="0"/>
        <v>60042.550377085405</v>
      </c>
      <c r="D174" s="2">
        <f t="shared" si="1"/>
        <v>58372.681126965887</v>
      </c>
      <c r="E174" s="2">
        <f t="shared" si="2"/>
        <v>61712.419627204923</v>
      </c>
    </row>
    <row r="175" spans="1:5" x14ac:dyDescent="0.3">
      <c r="A175" s="1">
        <v>46012</v>
      </c>
      <c r="C175">
        <f t="shared" si="0"/>
        <v>60062.825704752242</v>
      </c>
      <c r="D175" s="2">
        <f t="shared" si="1"/>
        <v>58330.060973734777</v>
      </c>
      <c r="E175" s="2">
        <f t="shared" si="2"/>
        <v>61795.590435769707</v>
      </c>
    </row>
    <row r="176" spans="1:5" x14ac:dyDescent="0.3">
      <c r="A176" s="1">
        <v>46013</v>
      </c>
      <c r="C176">
        <f t="shared" si="0"/>
        <v>60083.101032419072</v>
      </c>
      <c r="D176" s="2">
        <f t="shared" si="1"/>
        <v>58289.514408597104</v>
      </c>
      <c r="E176" s="2">
        <f t="shared" si="2"/>
        <v>61876.68765624104</v>
      </c>
    </row>
    <row r="177" spans="1:5" x14ac:dyDescent="0.3">
      <c r="A177" s="1">
        <v>46014</v>
      </c>
      <c r="C177">
        <f t="shared" si="0"/>
        <v>60103.376360085909</v>
      </c>
      <c r="D177" s="2">
        <f t="shared" si="1"/>
        <v>58250.837043833897</v>
      </c>
      <c r="E177" s="2">
        <f t="shared" si="2"/>
        <v>61955.915676337921</v>
      </c>
    </row>
    <row r="178" spans="1:5" x14ac:dyDescent="0.3">
      <c r="A178" s="1">
        <v>46015</v>
      </c>
      <c r="C178">
        <f t="shared" si="0"/>
        <v>60123.651687752739</v>
      </c>
      <c r="D178" s="2">
        <f t="shared" si="1"/>
        <v>58213.855638469817</v>
      </c>
      <c r="E178" s="2">
        <f t="shared" si="2"/>
        <v>62033.447737035662</v>
      </c>
    </row>
    <row r="179" spans="1:5" x14ac:dyDescent="0.3">
      <c r="A179" s="1">
        <v>46016</v>
      </c>
      <c r="C179">
        <f t="shared" si="0"/>
        <v>60143.927015419576</v>
      </c>
      <c r="D179" s="2">
        <f t="shared" si="1"/>
        <v>58178.421842334508</v>
      </c>
      <c r="E179" s="2">
        <f t="shared" si="2"/>
        <v>62109.432188504645</v>
      </c>
    </row>
    <row r="180" spans="1:5" x14ac:dyDescent="0.3">
      <c r="A180" s="1">
        <v>46017</v>
      </c>
      <c r="C180">
        <f t="shared" si="0"/>
        <v>60164.202343086406</v>
      </c>
      <c r="D180" s="2">
        <f t="shared" si="1"/>
        <v>58144.407467748446</v>
      </c>
      <c r="E180" s="2">
        <f t="shared" si="2"/>
        <v>62183.997218424367</v>
      </c>
    </row>
    <row r="181" spans="1:5" x14ac:dyDescent="0.3">
      <c r="A181" s="1">
        <v>46018</v>
      </c>
      <c r="C181">
        <f t="shared" si="0"/>
        <v>60184.477670753244</v>
      </c>
      <c r="D181" s="2">
        <f t="shared" si="1"/>
        <v>58111.70085633541</v>
      </c>
      <c r="E181" s="2">
        <f t="shared" si="2"/>
        <v>62257.254485171077</v>
      </c>
    </row>
    <row r="182" spans="1:5" x14ac:dyDescent="0.3">
      <c r="A182" s="1">
        <v>46019</v>
      </c>
      <c r="C182">
        <f t="shared" si="0"/>
        <v>60204.752998420074</v>
      </c>
      <c r="D182" s="2">
        <f t="shared" si="1"/>
        <v>58080.204046114282</v>
      </c>
      <c r="E182" s="2">
        <f t="shared" si="2"/>
        <v>62329.301950725865</v>
      </c>
    </row>
    <row r="183" spans="1:5" x14ac:dyDescent="0.3">
      <c r="A183" s="1">
        <v>46020</v>
      </c>
      <c r="C183">
        <f t="shared" si="0"/>
        <v>60225.028326086911</v>
      </c>
      <c r="D183" s="2">
        <f t="shared" si="1"/>
        <v>58049.830533474131</v>
      </c>
      <c r="E183" s="2">
        <f t="shared" si="2"/>
        <v>62400.226118699691</v>
      </c>
    </row>
    <row r="184" spans="1:5" x14ac:dyDescent="0.3">
      <c r="A184" s="1">
        <v>46021</v>
      </c>
      <c r="C184">
        <f t="shared" si="0"/>
        <v>60245.303653753741</v>
      </c>
      <c r="D184" s="2">
        <f t="shared" si="1"/>
        <v>58020.503484165645</v>
      </c>
      <c r="E184" s="2">
        <f t="shared" si="2"/>
        <v>62470.103823341837</v>
      </c>
    </row>
    <row r="185" spans="1:5" x14ac:dyDescent="0.3">
      <c r="A185" s="1">
        <v>46022</v>
      </c>
      <c r="C185">
        <f t="shared" si="0"/>
        <v>60265.578981420578</v>
      </c>
      <c r="D185" s="2">
        <f t="shared" si="1"/>
        <v>57992.15428791118</v>
      </c>
      <c r="E185" s="2">
        <f t="shared" si="2"/>
        <v>62539.003674929976</v>
      </c>
    </row>
    <row r="186" spans="1:5" x14ac:dyDescent="0.3">
      <c r="A186" s="1">
        <v>46023</v>
      </c>
      <c r="C186">
        <f t="shared" si="0"/>
        <v>60285.854309087408</v>
      </c>
      <c r="D186" s="2">
        <f t="shared" si="1"/>
        <v>57964.721379278286</v>
      </c>
      <c r="E186" s="2">
        <f t="shared" si="2"/>
        <v>62606.98723889653</v>
      </c>
    </row>
    <row r="187" spans="1:5" x14ac:dyDescent="0.3">
      <c r="A187" s="1">
        <v>46024</v>
      </c>
      <c r="C187">
        <f t="shared" si="0"/>
        <v>60306.129636754245</v>
      </c>
      <c r="D187" s="2">
        <f t="shared" si="1"/>
        <v>57938.149267233282</v>
      </c>
      <c r="E187" s="2">
        <f t="shared" si="2"/>
        <v>62674.110006275208</v>
      </c>
    </row>
    <row r="188" spans="1:5" x14ac:dyDescent="0.3">
      <c r="A188" s="1">
        <v>46025</v>
      </c>
      <c r="C188">
        <f t="shared" si="0"/>
        <v>60326.404964421075</v>
      </c>
      <c r="D188" s="2">
        <f t="shared" si="1"/>
        <v>57912.387729951755</v>
      </c>
      <c r="E188" s="2">
        <f t="shared" si="2"/>
        <v>62740.422198890396</v>
      </c>
    </row>
    <row r="189" spans="1:5" x14ac:dyDescent="0.3">
      <c r="A189" s="1">
        <v>46026</v>
      </c>
      <c r="C189">
        <f t="shared" si="0"/>
        <v>60346.680292087913</v>
      </c>
      <c r="D189" s="2">
        <f t="shared" si="1"/>
        <v>57887.391141752276</v>
      </c>
      <c r="E189" s="2">
        <f t="shared" si="2"/>
        <v>62805.969442423549</v>
      </c>
    </row>
    <row r="190" spans="1:5" x14ac:dyDescent="0.3">
      <c r="A190" s="1">
        <v>46027</v>
      </c>
      <c r="C190">
        <f t="shared" si="0"/>
        <v>60366.955619754743</v>
      </c>
      <c r="D190" s="2">
        <f t="shared" si="1"/>
        <v>57863.117906593769</v>
      </c>
      <c r="E190" s="2">
        <f t="shared" si="2"/>
        <v>62870.793332915717</v>
      </c>
    </row>
    <row r="191" spans="1:5" x14ac:dyDescent="0.3">
      <c r="A191" s="1">
        <v>46028</v>
      </c>
      <c r="C191">
        <f t="shared" si="0"/>
        <v>60387.23094742158</v>
      </c>
      <c r="D191" s="2">
        <f t="shared" si="1"/>
        <v>57839.529978222054</v>
      </c>
      <c r="E191" s="2">
        <f t="shared" si="2"/>
        <v>62934.931916621106</v>
      </c>
    </row>
    <row r="192" spans="1:5" x14ac:dyDescent="0.3">
      <c r="A192" s="1">
        <v>46029</v>
      </c>
      <c r="C192">
        <f t="shared" si="0"/>
        <v>60407.50627508841</v>
      </c>
      <c r="D192" s="2">
        <f t="shared" si="1"/>
        <v>57816.592451304001</v>
      </c>
      <c r="E192" s="2">
        <f t="shared" si="2"/>
        <v>62998.420098872819</v>
      </c>
    </row>
    <row r="193" spans="1:5" x14ac:dyDescent="0.3">
      <c r="A193" s="1">
        <v>46030</v>
      </c>
      <c r="C193">
        <f t="shared" si="0"/>
        <v>60427.781602755247</v>
      </c>
      <c r="D193" s="2">
        <f t="shared" si="1"/>
        <v>57794.273211126776</v>
      </c>
      <c r="E193" s="2">
        <f t="shared" si="2"/>
        <v>63061.289994383718</v>
      </c>
    </row>
    <row r="194" spans="1:5" x14ac:dyDescent="0.3">
      <c r="A194" s="1">
        <v>46031</v>
      </c>
      <c r="C194">
        <f t="shared" ref="C194:C225" si="3">_xlfn.FORECAST.ETS(A194,$B$2:$B$161,$A$2:$A$161,1,1)</f>
        <v>60448.056930422077</v>
      </c>
      <c r="D194" s="2">
        <f t="shared" ref="D194:D225" si="4">C194-_xlfn.FORECAST.ETS.CONFINT(A194,$B$2:$B$161,$A$2:$A$161,0.95,1,1)</f>
        <v>57772.542631928998</v>
      </c>
      <c r="E194" s="2">
        <f t="shared" ref="E194:E225" si="5">C194+_xlfn.FORECAST.ETS.CONFINT(A194,$B$2:$B$161,$A$2:$A$161,0.95,1,1)</f>
        <v>63123.571228915156</v>
      </c>
    </row>
    <row r="195" spans="1:5" x14ac:dyDescent="0.3">
      <c r="A195" s="1">
        <v>46032</v>
      </c>
      <c r="C195">
        <f t="shared" si="3"/>
        <v>60468.332258088914</v>
      </c>
      <c r="D195" s="2">
        <f t="shared" si="4"/>
        <v>57751.373315862009</v>
      </c>
      <c r="E195" s="2">
        <f t="shared" si="5"/>
        <v>63185.29120031582</v>
      </c>
    </row>
    <row r="196" spans="1:5" x14ac:dyDescent="0.3">
      <c r="A196" s="1">
        <v>46033</v>
      </c>
      <c r="C196">
        <f t="shared" si="3"/>
        <v>60488.607585755744</v>
      </c>
      <c r="D196" s="2">
        <f t="shared" si="4"/>
        <v>57730.739866089956</v>
      </c>
      <c r="E196" s="2">
        <f t="shared" si="5"/>
        <v>63246.475305421533</v>
      </c>
    </row>
    <row r="197" spans="1:5" x14ac:dyDescent="0.3">
      <c r="A197" s="1">
        <v>46034</v>
      </c>
      <c r="C197">
        <f t="shared" si="3"/>
        <v>60508.882913422582</v>
      </c>
      <c r="D197" s="2">
        <f t="shared" si="4"/>
        <v>57710.618688728304</v>
      </c>
      <c r="E197" s="2">
        <f t="shared" si="5"/>
        <v>63307.147138116859</v>
      </c>
    </row>
    <row r="198" spans="1:5" x14ac:dyDescent="0.3">
      <c r="A198" s="1">
        <v>46035</v>
      </c>
      <c r="C198">
        <f t="shared" si="3"/>
        <v>60529.158241089412</v>
      </c>
      <c r="D198" s="2">
        <f t="shared" si="4"/>
        <v>57690.987819265851</v>
      </c>
      <c r="E198" s="2">
        <f t="shared" si="5"/>
        <v>63367.328662912973</v>
      </c>
    </row>
    <row r="199" spans="1:5" x14ac:dyDescent="0.3">
      <c r="A199" s="1">
        <v>46036</v>
      </c>
      <c r="C199">
        <f t="shared" si="3"/>
        <v>60549.433568756249</v>
      </c>
      <c r="D199" s="2">
        <f t="shared" si="4"/>
        <v>57671.826769871986</v>
      </c>
      <c r="E199" s="2">
        <f t="shared" si="5"/>
        <v>63427.040367640511</v>
      </c>
    </row>
    <row r="200" spans="1:5" x14ac:dyDescent="0.3">
      <c r="A200" s="1">
        <v>46037</v>
      </c>
      <c r="C200">
        <f t="shared" si="3"/>
        <v>60569.708896423079</v>
      </c>
      <c r="D200" s="2">
        <f t="shared" si="4"/>
        <v>57653.116394599121</v>
      </c>
      <c r="E200" s="2">
        <f t="shared" si="5"/>
        <v>63486.301398247037</v>
      </c>
    </row>
    <row r="201" spans="1:5" x14ac:dyDescent="0.3">
      <c r="A201" s="1">
        <v>46038</v>
      </c>
      <c r="C201">
        <f t="shared" si="3"/>
        <v>60589.984224089916</v>
      </c>
      <c r="D201" s="2">
        <f t="shared" si="4"/>
        <v>57634.838769983464</v>
      </c>
      <c r="E201" s="2">
        <f t="shared" si="5"/>
        <v>63545.129678196368</v>
      </c>
    </row>
    <row r="202" spans="1:5" x14ac:dyDescent="0.3">
      <c r="A202" s="1">
        <v>46039</v>
      </c>
      <c r="C202">
        <f t="shared" si="3"/>
        <v>60610.259551756746</v>
      </c>
      <c r="D202" s="2">
        <f t="shared" si="4"/>
        <v>57616.977088948501</v>
      </c>
      <c r="E202" s="2">
        <f t="shared" si="5"/>
        <v>63603.542014564991</v>
      </c>
    </row>
    <row r="203" spans="1:5" x14ac:dyDescent="0.3">
      <c r="A203" s="1">
        <v>46040</v>
      </c>
      <c r="C203">
        <f t="shared" si="3"/>
        <v>60630.534879423583</v>
      </c>
      <c r="D203" s="2">
        <f t="shared" si="4"/>
        <v>57599.515566244721</v>
      </c>
      <c r="E203" s="2">
        <f t="shared" si="5"/>
        <v>63661.554192602445</v>
      </c>
    </row>
    <row r="204" spans="1:5" x14ac:dyDescent="0.3">
      <c r="A204" s="1">
        <v>46041</v>
      </c>
      <c r="C204">
        <f t="shared" si="3"/>
        <v>60650.810207090413</v>
      </c>
      <c r="D204" s="2">
        <f t="shared" si="4"/>
        <v>57582.439353929207</v>
      </c>
      <c r="E204" s="2">
        <f t="shared" si="5"/>
        <v>63719.18106025162</v>
      </c>
    </row>
    <row r="205" spans="1:5" x14ac:dyDescent="0.3">
      <c r="A205" s="1">
        <v>46042</v>
      </c>
      <c r="C205">
        <f t="shared" si="3"/>
        <v>60671.085534757251</v>
      </c>
      <c r="D205" s="2">
        <f t="shared" si="4"/>
        <v>57565.734465613423</v>
      </c>
      <c r="E205" s="2">
        <f t="shared" si="5"/>
        <v>63776.436603901078</v>
      </c>
    </row>
    <row r="206" spans="1:5" x14ac:dyDescent="0.3">
      <c r="A206" s="1">
        <v>46043</v>
      </c>
      <c r="C206">
        <f t="shared" si="3"/>
        <v>60691.360862424081</v>
      </c>
      <c r="D206" s="2">
        <f t="shared" si="4"/>
        <v>57549.387708392795</v>
      </c>
      <c r="E206" s="2">
        <f t="shared" si="5"/>
        <v>63833.334016455367</v>
      </c>
    </row>
    <row r="207" spans="1:5" x14ac:dyDescent="0.3">
      <c r="A207" s="1">
        <v>46044</v>
      </c>
      <c r="C207">
        <f t="shared" si="3"/>
        <v>60711.636190090918</v>
      </c>
      <c r="D207" s="2">
        <f t="shared" si="4"/>
        <v>57533.386621527992</v>
      </c>
      <c r="E207" s="2">
        <f t="shared" si="5"/>
        <v>63889.885758653843</v>
      </c>
    </row>
    <row r="208" spans="1:5" x14ac:dyDescent="0.3">
      <c r="A208" s="1">
        <v>46045</v>
      </c>
      <c r="C208">
        <f t="shared" si="3"/>
        <v>60731.911517757748</v>
      </c>
      <c r="D208" s="2">
        <f t="shared" si="4"/>
        <v>57517.719421077207</v>
      </c>
      <c r="E208" s="2">
        <f t="shared" si="5"/>
        <v>63946.103614438289</v>
      </c>
    </row>
    <row r="209" spans="1:5" x14ac:dyDescent="0.3">
      <c r="A209" s="1">
        <v>46046</v>
      </c>
      <c r="C209">
        <f t="shared" si="3"/>
        <v>60752.186845424585</v>
      </c>
      <c r="D209" s="2">
        <f t="shared" si="4"/>
        <v>57502.374949789315</v>
      </c>
      <c r="E209" s="2">
        <f t="shared" si="5"/>
        <v>64001.998741059855</v>
      </c>
    </row>
    <row r="210" spans="1:5" x14ac:dyDescent="0.3">
      <c r="A210" s="1">
        <v>46047</v>
      </c>
      <c r="C210">
        <f t="shared" si="3"/>
        <v>60772.462173091415</v>
      </c>
      <c r="D210" s="2">
        <f t="shared" si="4"/>
        <v>57487.342631659711</v>
      </c>
      <c r="E210" s="2">
        <f t="shared" si="5"/>
        <v>64057.581714523119</v>
      </c>
    </row>
    <row r="211" spans="1:5" x14ac:dyDescent="0.3">
      <c r="A211" s="1">
        <v>46048</v>
      </c>
      <c r="C211">
        <f t="shared" si="3"/>
        <v>60792.737500758252</v>
      </c>
      <c r="D211" s="2">
        <f t="shared" si="4"/>
        <v>57472.612430629873</v>
      </c>
      <c r="E211" s="2">
        <f t="shared" si="5"/>
        <v>64112.862570886631</v>
      </c>
    </row>
    <row r="212" spans="1:5" x14ac:dyDescent="0.3">
      <c r="A212" s="1">
        <v>46049</v>
      </c>
      <c r="C212">
        <f t="shared" si="3"/>
        <v>60813.012828425082</v>
      </c>
      <c r="D212" s="2">
        <f t="shared" si="4"/>
        <v>57458.174812978184</v>
      </c>
      <c r="E212" s="2">
        <f t="shared" si="5"/>
        <v>64167.85084387198</v>
      </c>
    </row>
    <row r="213" spans="1:5" x14ac:dyDescent="0.3">
      <c r="A213" s="1">
        <v>46050</v>
      </c>
      <c r="C213">
        <f t="shared" si="3"/>
        <v>60833.28815609192</v>
      </c>
      <c r="D213" s="2">
        <f t="shared" si="4"/>
        <v>57444.020713007209</v>
      </c>
      <c r="E213" s="2">
        <f t="shared" si="5"/>
        <v>64222.55559917663</v>
      </c>
    </row>
    <row r="214" spans="1:5" x14ac:dyDescent="0.3">
      <c r="A214" s="1">
        <v>46051</v>
      </c>
      <c r="C214">
        <f t="shared" si="3"/>
        <v>60853.563483758749</v>
      </c>
      <c r="D214" s="2">
        <f t="shared" si="4"/>
        <v>57430.141501680955</v>
      </c>
      <c r="E214" s="2">
        <f t="shared" si="5"/>
        <v>64276.985465836544</v>
      </c>
    </row>
    <row r="215" spans="1:5" x14ac:dyDescent="0.3">
      <c r="A215" s="1">
        <v>46052</v>
      </c>
      <c r="C215">
        <f t="shared" si="3"/>
        <v>60873.838811425587</v>
      </c>
      <c r="D215" s="2">
        <f t="shared" si="4"/>
        <v>57416.528957908617</v>
      </c>
      <c r="E215" s="2">
        <f t="shared" si="5"/>
        <v>64331.148664942557</v>
      </c>
    </row>
    <row r="216" spans="1:5" x14ac:dyDescent="0.3">
      <c r="A216" s="1">
        <v>46053</v>
      </c>
      <c r="C216">
        <f t="shared" si="3"/>
        <v>60894.114139092417</v>
      </c>
      <c r="D216" s="2">
        <f t="shared" si="4"/>
        <v>57403.175242206678</v>
      </c>
      <c r="E216" s="2">
        <f t="shared" si="5"/>
        <v>64385.053035978155</v>
      </c>
    </row>
    <row r="217" spans="1:5" x14ac:dyDescent="0.3">
      <c r="A217" s="1">
        <v>46054</v>
      </c>
      <c r="C217">
        <f t="shared" si="3"/>
        <v>60914.389466759254</v>
      </c>
      <c r="D217" s="2">
        <f t="shared" si="4"/>
        <v>57390.072872503602</v>
      </c>
      <c r="E217" s="2">
        <f t="shared" si="5"/>
        <v>64438.706061014906</v>
      </c>
    </row>
    <row r="218" spans="1:5" x14ac:dyDescent="0.3">
      <c r="A218" s="1">
        <v>46055</v>
      </c>
      <c r="C218">
        <f t="shared" si="3"/>
        <v>60934.664794426084</v>
      </c>
      <c r="D218" s="2">
        <f t="shared" si="4"/>
        <v>57377.214701877645</v>
      </c>
      <c r="E218" s="2">
        <f t="shared" si="5"/>
        <v>64492.114886974523</v>
      </c>
    </row>
    <row r="219" spans="1:5" x14ac:dyDescent="0.3">
      <c r="A219" s="1">
        <v>46056</v>
      </c>
      <c r="C219">
        <f t="shared" si="3"/>
        <v>60954.940122092921</v>
      </c>
      <c r="D219" s="2">
        <f t="shared" si="4"/>
        <v>57364.59389804284</v>
      </c>
      <c r="E219" s="2">
        <f t="shared" si="5"/>
        <v>64545.286346143002</v>
      </c>
    </row>
    <row r="220" spans="1:5" x14ac:dyDescent="0.3">
      <c r="A220" s="1">
        <v>46057</v>
      </c>
      <c r="C220">
        <f t="shared" si="3"/>
        <v>60975.215449759751</v>
      </c>
      <c r="D220" s="2">
        <f t="shared" si="4"/>
        <v>57352.203924418063</v>
      </c>
      <c r="E220" s="2">
        <f t="shared" si="5"/>
        <v>64598.226975101439</v>
      </c>
    </row>
    <row r="221" spans="1:5" x14ac:dyDescent="0.3">
      <c r="A221" s="1">
        <v>46058</v>
      </c>
      <c r="C221">
        <f t="shared" si="3"/>
        <v>60995.490777426588</v>
      </c>
      <c r="D221" s="2">
        <f t="shared" si="4"/>
        <v>57340.03852263288</v>
      </c>
      <c r="E221" s="2">
        <f t="shared" si="5"/>
        <v>64650.943032220297</v>
      </c>
    </row>
    <row r="222" spans="1:5" x14ac:dyDescent="0.3">
      <c r="A222" s="1">
        <v>46059</v>
      </c>
      <c r="C222">
        <f t="shared" si="3"/>
        <v>61015.766105093418</v>
      </c>
      <c r="D222" s="2">
        <f t="shared" si="4"/>
        <v>57328.091696338852</v>
      </c>
      <c r="E222" s="2">
        <f t="shared" si="5"/>
        <v>64703.440513847985</v>
      </c>
    </row>
    <row r="223" spans="1:5" x14ac:dyDescent="0.3">
      <c r="A223" s="1">
        <v>46060</v>
      </c>
      <c r="C223">
        <f t="shared" si="3"/>
        <v>61036.041432760248</v>
      </c>
      <c r="D223" s="2">
        <f t="shared" si="4"/>
        <v>57316.357696209649</v>
      </c>
      <c r="E223" s="2">
        <f t="shared" si="5"/>
        <v>64755.725169310848</v>
      </c>
    </row>
    <row r="224" spans="1:5" x14ac:dyDescent="0.3">
      <c r="A224" s="1">
        <v>46061</v>
      </c>
      <c r="C224">
        <f t="shared" si="3"/>
        <v>61056.316760427086</v>
      </c>
      <c r="D224" s="2">
        <f t="shared" si="4"/>
        <v>57304.831006024848</v>
      </c>
      <c r="E224" s="2">
        <f t="shared" si="5"/>
        <v>64807.802514829324</v>
      </c>
    </row>
    <row r="225" spans="1:5" x14ac:dyDescent="0.3">
      <c r="A225" s="1">
        <v>46062</v>
      </c>
      <c r="C225">
        <f t="shared" si="3"/>
        <v>61076.592088093923</v>
      </c>
      <c r="D225" s="2">
        <f t="shared" si="4"/>
        <v>57293.506329743395</v>
      </c>
      <c r="E225" s="2">
        <f t="shared" si="5"/>
        <v>64859.677846444451</v>
      </c>
    </row>
    <row r="226" spans="1:5" x14ac:dyDescent="0.3">
      <c r="A226" s="1">
        <v>46063</v>
      </c>
      <c r="C226">
        <f t="shared" ref="C226:C257" si="6">_xlfn.FORECAST.ETS(A226,$B$2:$B$161,$A$2:$A$161,1,1)</f>
        <v>61096.867415760753</v>
      </c>
      <c r="D226" s="2">
        <f t="shared" ref="D226:D257" si="7">C226-_xlfn.FORECAST.ETS.CONFINT(A226,$B$2:$B$161,$A$2:$A$161,0.95,1,1)</f>
        <v>57282.378579482232</v>
      </c>
      <c r="E226" s="2">
        <f t="shared" ref="E226:E257" si="8">C226+_xlfn.FORECAST.ETS.CONFINT(A226,$B$2:$B$161,$A$2:$A$161,0.95,1,1)</f>
        <v>64911.356252039273</v>
      </c>
    </row>
    <row r="227" spans="1:5" x14ac:dyDescent="0.3">
      <c r="A227" s="1">
        <v>46064</v>
      </c>
      <c r="C227">
        <f t="shared" si="6"/>
        <v>61117.142743427583</v>
      </c>
      <c r="D227" s="2">
        <f t="shared" si="7"/>
        <v>57271.442864323762</v>
      </c>
      <c r="E227" s="2">
        <f t="shared" si="8"/>
        <v>64962.842622531403</v>
      </c>
    </row>
    <row r="228" spans="1:5" x14ac:dyDescent="0.3">
      <c r="A228" s="1">
        <v>46065</v>
      </c>
      <c r="C228">
        <f t="shared" si="6"/>
        <v>61137.41807109442</v>
      </c>
      <c r="D228" s="2">
        <f t="shared" si="7"/>
        <v>57260.694479883532</v>
      </c>
      <c r="E228" s="2">
        <f t="shared" si="8"/>
        <v>65014.141662305308</v>
      </c>
    </row>
    <row r="229" spans="1:5" x14ac:dyDescent="0.3">
      <c r="A229" s="1">
        <v>46066</v>
      </c>
      <c r="C229">
        <f t="shared" si="6"/>
        <v>61157.69339876125</v>
      </c>
      <c r="D229" s="2">
        <f t="shared" si="7"/>
        <v>57250.128898575902</v>
      </c>
      <c r="E229" s="2">
        <f t="shared" si="8"/>
        <v>65065.257898946598</v>
      </c>
    </row>
    <row r="230" spans="1:5" x14ac:dyDescent="0.3">
      <c r="A230" s="1">
        <v>46067</v>
      </c>
      <c r="C230">
        <f t="shared" si="6"/>
        <v>61177.968726428087</v>
      </c>
      <c r="D230" s="2">
        <f t="shared" si="7"/>
        <v>57239.741760521749</v>
      </c>
      <c r="E230" s="2">
        <f t="shared" si="8"/>
        <v>65116.195692334426</v>
      </c>
    </row>
    <row r="231" spans="1:5" x14ac:dyDescent="0.3">
      <c r="A231" s="1">
        <v>46068</v>
      </c>
      <c r="C231">
        <f t="shared" si="6"/>
        <v>61198.244054094917</v>
      </c>
      <c r="D231" s="2">
        <f t="shared" si="7"/>
        <v>57229.528865047003</v>
      </c>
      <c r="E231" s="2">
        <f t="shared" si="8"/>
        <v>65166.959243142832</v>
      </c>
    </row>
    <row r="232" spans="1:5" x14ac:dyDescent="0.3">
      <c r="A232" s="1">
        <v>46069</v>
      </c>
      <c r="C232">
        <f t="shared" si="6"/>
        <v>61218.519381761755</v>
      </c>
      <c r="D232" s="2">
        <f t="shared" si="7"/>
        <v>57219.48616272596</v>
      </c>
      <c r="E232" s="2">
        <f t="shared" si="8"/>
        <v>65217.55260079755</v>
      </c>
    </row>
    <row r="233" spans="1:5" x14ac:dyDescent="0.3">
      <c r="A233" s="1">
        <v>46070</v>
      </c>
      <c r="C233">
        <f t="shared" si="6"/>
        <v>61238.794709428585</v>
      </c>
      <c r="D233" s="2">
        <f t="shared" si="7"/>
        <v>57209.609747927345</v>
      </c>
      <c r="E233" s="2">
        <f t="shared" si="8"/>
        <v>65267.979670929824</v>
      </c>
    </row>
    <row r="234" spans="1:5" x14ac:dyDescent="0.3">
      <c r="A234" s="1">
        <v>46071</v>
      </c>
      <c r="C234">
        <f t="shared" si="6"/>
        <v>61259.070037095422</v>
      </c>
      <c r="D234" s="2">
        <f t="shared" si="7"/>
        <v>57199.895851824847</v>
      </c>
      <c r="E234" s="2">
        <f t="shared" si="8"/>
        <v>65318.244222365996</v>
      </c>
    </row>
    <row r="235" spans="1:5" x14ac:dyDescent="0.3">
      <c r="A235" s="1">
        <v>46072</v>
      </c>
      <c r="C235">
        <f t="shared" si="6"/>
        <v>61279.345364762252</v>
      </c>
      <c r="D235" s="2">
        <f t="shared" si="7"/>
        <v>57190.340835837254</v>
      </c>
      <c r="E235" s="2">
        <f t="shared" si="8"/>
        <v>65368.349893687249</v>
      </c>
    </row>
    <row r="236" spans="1:5" x14ac:dyDescent="0.3">
      <c r="A236" s="1">
        <v>46073</v>
      </c>
      <c r="C236">
        <f t="shared" si="6"/>
        <v>61299.620692429089</v>
      </c>
      <c r="D236" s="2">
        <f t="shared" si="7"/>
        <v>57180.941185466501</v>
      </c>
      <c r="E236" s="2">
        <f t="shared" si="8"/>
        <v>65418.300199391677</v>
      </c>
    </row>
    <row r="237" spans="1:5" x14ac:dyDescent="0.3">
      <c r="A237" s="1">
        <v>46074</v>
      </c>
      <c r="C237">
        <f t="shared" si="6"/>
        <v>61319.896020095919</v>
      </c>
      <c r="D237" s="2">
        <f t="shared" si="7"/>
        <v>57171.693504504387</v>
      </c>
      <c r="E237" s="2">
        <f t="shared" si="8"/>
        <v>65468.098535687452</v>
      </c>
    </row>
    <row r="238" spans="1:5" x14ac:dyDescent="0.3">
      <c r="A238" s="1">
        <v>46075</v>
      </c>
      <c r="C238">
        <f t="shared" si="6"/>
        <v>61340.171347762756</v>
      </c>
      <c r="D238" s="2">
        <f t="shared" si="7"/>
        <v>57162.594509581606</v>
      </c>
      <c r="E238" s="2">
        <f t="shared" si="8"/>
        <v>65517.748185943907</v>
      </c>
    </row>
    <row r="239" spans="1:5" x14ac:dyDescent="0.3">
      <c r="A239" s="1">
        <v>46076</v>
      </c>
      <c r="C239">
        <f t="shared" si="6"/>
        <v>61360.446675429586</v>
      </c>
      <c r="D239" s="2">
        <f t="shared" si="7"/>
        <v>57153.641025034478</v>
      </c>
      <c r="E239" s="2">
        <f t="shared" si="8"/>
        <v>65567.252325824695</v>
      </c>
    </row>
    <row r="240" spans="1:5" x14ac:dyDescent="0.3">
      <c r="A240" s="1">
        <v>46077</v>
      </c>
      <c r="C240">
        <f t="shared" si="6"/>
        <v>61380.722003096424</v>
      </c>
      <c r="D240" s="2">
        <f t="shared" si="7"/>
        <v>57144.829978067319</v>
      </c>
      <c r="E240" s="2">
        <f t="shared" si="8"/>
        <v>65616.614028125521</v>
      </c>
    </row>
    <row r="241" spans="1:5" x14ac:dyDescent="0.3">
      <c r="A241" s="1">
        <v>46078</v>
      </c>
      <c r="C241">
        <f t="shared" si="6"/>
        <v>61400.997330763254</v>
      </c>
      <c r="D241" s="2">
        <f t="shared" si="7"/>
        <v>57136.158394189675</v>
      </c>
      <c r="E241" s="2">
        <f t="shared" si="8"/>
        <v>65665.836267336825</v>
      </c>
    </row>
    <row r="242" spans="1:5" x14ac:dyDescent="0.3">
      <c r="A242" s="1">
        <v>46079</v>
      </c>
      <c r="C242">
        <f t="shared" si="6"/>
        <v>61421.272658430091</v>
      </c>
      <c r="D242" s="2">
        <f t="shared" si="7"/>
        <v>57127.623392909874</v>
      </c>
      <c r="E242" s="2">
        <f t="shared" si="8"/>
        <v>65714.9219239503</v>
      </c>
    </row>
    <row r="243" spans="1:5" x14ac:dyDescent="0.3">
      <c r="A243" s="1">
        <v>46080</v>
      </c>
      <c r="C243">
        <f t="shared" si="6"/>
        <v>61441.547986096921</v>
      </c>
      <c r="D243" s="2">
        <f t="shared" si="7"/>
        <v>57119.222183667232</v>
      </c>
      <c r="E243" s="2">
        <f t="shared" si="8"/>
        <v>65763.873788526616</v>
      </c>
    </row>
    <row r="244" spans="1:5" x14ac:dyDescent="0.3">
      <c r="A244" s="1">
        <v>46081</v>
      </c>
      <c r="C244">
        <f t="shared" si="6"/>
        <v>61461.823313763758</v>
      </c>
      <c r="D244" s="2">
        <f t="shared" si="7"/>
        <v>57110.952061987278</v>
      </c>
      <c r="E244" s="2">
        <f t="shared" si="8"/>
        <v>65812.694565540238</v>
      </c>
    </row>
    <row r="245" spans="1:5" x14ac:dyDescent="0.3">
      <c r="A245" s="1">
        <v>46082</v>
      </c>
      <c r="C245">
        <f t="shared" si="6"/>
        <v>61482.098641430588</v>
      </c>
      <c r="D245" s="2">
        <f t="shared" si="7"/>
        <v>57102.810405844968</v>
      </c>
      <c r="E245" s="2">
        <f t="shared" si="8"/>
        <v>65861.386877016208</v>
      </c>
    </row>
    <row r="246" spans="1:5" x14ac:dyDescent="0.3">
      <c r="A246" s="1">
        <v>46083</v>
      </c>
      <c r="C246">
        <f t="shared" si="6"/>
        <v>61502.373969097425</v>
      </c>
      <c r="D246" s="2">
        <f t="shared" si="7"/>
        <v>57094.794672222604</v>
      </c>
      <c r="E246" s="2">
        <f t="shared" si="8"/>
        <v>65909.953265972246</v>
      </c>
    </row>
    <row r="247" spans="1:5" x14ac:dyDescent="0.3">
      <c r="A247" s="1">
        <v>46084</v>
      </c>
      <c r="C247">
        <f t="shared" si="6"/>
        <v>61522.649296764255</v>
      </c>
      <c r="D247" s="2">
        <f t="shared" si="7"/>
        <v>57086.902393849537</v>
      </c>
      <c r="E247" s="2">
        <f t="shared" si="8"/>
        <v>65958.396199678973</v>
      </c>
    </row>
    <row r="248" spans="1:5" x14ac:dyDescent="0.3">
      <c r="A248" s="1">
        <v>46085</v>
      </c>
      <c r="C248">
        <f t="shared" si="6"/>
        <v>61542.924624431093</v>
      </c>
      <c r="D248" s="2">
        <f t="shared" si="7"/>
        <v>57079.131176112511</v>
      </c>
      <c r="E248" s="2">
        <f t="shared" si="8"/>
        <v>66006.718072749674</v>
      </c>
    </row>
    <row r="249" spans="1:5" x14ac:dyDescent="0.3">
      <c r="A249" s="1">
        <v>46086</v>
      </c>
      <c r="C249">
        <f t="shared" si="6"/>
        <v>61563.199952097923</v>
      </c>
      <c r="D249" s="2">
        <f t="shared" si="7"/>
        <v>57071.478694125399</v>
      </c>
      <c r="E249" s="2">
        <f t="shared" si="8"/>
        <v>66054.921210070446</v>
      </c>
    </row>
    <row r="250" spans="1:5" x14ac:dyDescent="0.3">
      <c r="A250" s="1">
        <v>46087</v>
      </c>
      <c r="C250">
        <f t="shared" si="6"/>
        <v>61583.47527976476</v>
      </c>
      <c r="D250" s="2">
        <f t="shared" si="7"/>
        <v>57063.942689948854</v>
      </c>
      <c r="E250" s="2">
        <f t="shared" si="8"/>
        <v>66103.007869580673</v>
      </c>
    </row>
    <row r="251" spans="1:5" x14ac:dyDescent="0.3">
      <c r="A251" s="1">
        <v>46088</v>
      </c>
      <c r="C251">
        <f t="shared" si="6"/>
        <v>61603.75060743159</v>
      </c>
      <c r="D251" s="2">
        <f t="shared" si="7"/>
        <v>57056.520969950223</v>
      </c>
      <c r="E251" s="2">
        <f t="shared" si="8"/>
        <v>66150.980244912964</v>
      </c>
    </row>
    <row r="252" spans="1:5" x14ac:dyDescent="0.3">
      <c r="A252" s="1">
        <v>46089</v>
      </c>
      <c r="C252">
        <f t="shared" si="6"/>
        <v>61624.025935098427</v>
      </c>
      <c r="D252" s="2">
        <f t="shared" si="7"/>
        <v>57049.211402295565</v>
      </c>
      <c r="E252" s="2">
        <f t="shared" si="8"/>
        <v>66198.840467901289</v>
      </c>
    </row>
    <row r="253" spans="1:5" x14ac:dyDescent="0.3">
      <c r="A253" s="1">
        <v>46090</v>
      </c>
      <c r="C253">
        <f t="shared" si="6"/>
        <v>61644.301262765257</v>
      </c>
      <c r="D253" s="2">
        <f t="shared" si="7"/>
        <v>57042.011914565432</v>
      </c>
      <c r="E253" s="2">
        <f t="shared" si="8"/>
        <v>66246.590610965082</v>
      </c>
    </row>
    <row r="254" spans="1:5" x14ac:dyDescent="0.3">
      <c r="A254" s="1">
        <v>46091</v>
      </c>
      <c r="C254">
        <f t="shared" si="6"/>
        <v>61664.576590432094</v>
      </c>
      <c r="D254" s="2">
        <f t="shared" si="7"/>
        <v>57034.920491487333</v>
      </c>
      <c r="E254" s="2">
        <f t="shared" si="8"/>
        <v>66294.232689376862</v>
      </c>
    </row>
    <row r="255" spans="1:5" x14ac:dyDescent="0.3">
      <c r="A255" s="1">
        <v>46092</v>
      </c>
      <c r="C255">
        <f t="shared" si="6"/>
        <v>61684.851918098924</v>
      </c>
      <c r="D255" s="2">
        <f t="shared" si="7"/>
        <v>57027.935172777798</v>
      </c>
      <c r="E255" s="2">
        <f t="shared" si="8"/>
        <v>66341.768663420051</v>
      </c>
    </row>
    <row r="256" spans="1:5" x14ac:dyDescent="0.3">
      <c r="A256" s="1">
        <v>46093</v>
      </c>
      <c r="C256">
        <f t="shared" si="6"/>
        <v>61705.127245765761</v>
      </c>
      <c r="D256" s="2">
        <f t="shared" si="7"/>
        <v>57021.054051087784</v>
      </c>
      <c r="E256" s="2">
        <f t="shared" si="8"/>
        <v>66389.200440443732</v>
      </c>
    </row>
    <row r="257" spans="1:5" x14ac:dyDescent="0.3">
      <c r="A257" s="1">
        <v>46094</v>
      </c>
      <c r="C257">
        <f t="shared" si="6"/>
        <v>61725.402573432591</v>
      </c>
      <c r="D257" s="2">
        <f t="shared" si="7"/>
        <v>57014.275270045306</v>
      </c>
      <c r="E257" s="2">
        <f t="shared" si="8"/>
        <v>66436.529876819885</v>
      </c>
    </row>
    <row r="258" spans="1:5" x14ac:dyDescent="0.3">
      <c r="A258" s="1">
        <v>46095</v>
      </c>
      <c r="C258">
        <f t="shared" ref="C258:C289" si="9">_xlfn.FORECAST.ETS(A258,$B$2:$B$161,$A$2:$A$161,1,1)</f>
        <v>61745.677901099429</v>
      </c>
      <c r="D258" s="2">
        <f t="shared" ref="D258:D289" si="10">C258-_xlfn.FORECAST.ETS.CONFINT(A258,$B$2:$B$161,$A$2:$A$161,0.95,1,1)</f>
        <v>57007.597022389862</v>
      </c>
      <c r="E258" s="2">
        <f t="shared" ref="E258:E289" si="11">C258+_xlfn.FORECAST.ETS.CONFINT(A258,$B$2:$B$161,$A$2:$A$161,0.95,1,1)</f>
        <v>66483.758779808995</v>
      </c>
    </row>
    <row r="259" spans="1:5" x14ac:dyDescent="0.3">
      <c r="A259" s="1">
        <v>46096</v>
      </c>
      <c r="C259">
        <f t="shared" si="9"/>
        <v>61765.953228766259</v>
      </c>
      <c r="D259" s="2">
        <f t="shared" si="10"/>
        <v>57001.017548193406</v>
      </c>
      <c r="E259" s="2">
        <f t="shared" si="11"/>
        <v>66530.888909339119</v>
      </c>
    </row>
    <row r="260" spans="1:5" x14ac:dyDescent="0.3">
      <c r="A260" s="1">
        <v>46097</v>
      </c>
      <c r="C260">
        <f t="shared" si="9"/>
        <v>61786.228556433096</v>
      </c>
      <c r="D260" s="2">
        <f t="shared" si="10"/>
        <v>56994.535133162994</v>
      </c>
      <c r="E260" s="2">
        <f t="shared" si="11"/>
        <v>66577.921979703198</v>
      </c>
    </row>
    <row r="261" spans="1:5" x14ac:dyDescent="0.3">
      <c r="A261" s="1">
        <v>46098</v>
      </c>
      <c r="C261">
        <f t="shared" si="9"/>
        <v>61806.503884099926</v>
      </c>
      <c r="D261" s="2">
        <f t="shared" si="10"/>
        <v>56988.148107020606</v>
      </c>
      <c r="E261" s="2">
        <f t="shared" si="11"/>
        <v>66624.859661179245</v>
      </c>
    </row>
    <row r="262" spans="1:5" x14ac:dyDescent="0.3">
      <c r="A262" s="1">
        <v>46099</v>
      </c>
      <c r="C262">
        <f t="shared" si="9"/>
        <v>61826.779211766763</v>
      </c>
      <c r="D262" s="2">
        <f t="shared" si="10"/>
        <v>56981.854841955923</v>
      </c>
      <c r="E262" s="2">
        <f t="shared" si="11"/>
        <v>66671.703581577603</v>
      </c>
    </row>
    <row r="263" spans="1:5" x14ac:dyDescent="0.3">
      <c r="A263" s="1">
        <v>46100</v>
      </c>
      <c r="C263">
        <f t="shared" si="9"/>
        <v>61847.054539433593</v>
      </c>
      <c r="D263" s="2">
        <f t="shared" si="10"/>
        <v>56975.653751148006</v>
      </c>
      <c r="E263" s="2">
        <f t="shared" si="11"/>
        <v>66718.455327719174</v>
      </c>
    </row>
    <row r="264" spans="1:5" x14ac:dyDescent="0.3">
      <c r="A264" s="1">
        <v>46101</v>
      </c>
      <c r="C264">
        <f t="shared" si="9"/>
        <v>61867.32986710043</v>
      </c>
      <c r="D264" s="2">
        <f t="shared" si="10"/>
        <v>56969.543287352346</v>
      </c>
      <c r="E264" s="2">
        <f t="shared" si="11"/>
        <v>66765.116446848522</v>
      </c>
    </row>
    <row r="265" spans="1:5" x14ac:dyDescent="0.3">
      <c r="A265" s="1">
        <v>46102</v>
      </c>
      <c r="C265">
        <f t="shared" si="9"/>
        <v>61887.60519476726</v>
      </c>
      <c r="D265" s="2">
        <f t="shared" si="10"/>
        <v>56963.521941549494</v>
      </c>
      <c r="E265" s="2">
        <f t="shared" si="11"/>
        <v>66811.688447985027</v>
      </c>
    </row>
    <row r="266" spans="1:5" x14ac:dyDescent="0.3">
      <c r="A266" s="1">
        <v>46103</v>
      </c>
      <c r="C266">
        <f t="shared" si="9"/>
        <v>61907.880522434098</v>
      </c>
      <c r="D266" s="2">
        <f t="shared" si="10"/>
        <v>56957.588241652447</v>
      </c>
      <c r="E266" s="2">
        <f t="shared" si="11"/>
        <v>66858.172803215755</v>
      </c>
    </row>
    <row r="267" spans="1:5" x14ac:dyDescent="0.3">
      <c r="A267" s="1">
        <v>46104</v>
      </c>
      <c r="C267">
        <f t="shared" si="9"/>
        <v>61928.155850100928</v>
      </c>
      <c r="D267" s="2">
        <f t="shared" si="10"/>
        <v>56951.740751269208</v>
      </c>
      <c r="E267" s="2">
        <f t="shared" si="11"/>
        <v>66904.570948932655</v>
      </c>
    </row>
    <row r="268" spans="1:5" x14ac:dyDescent="0.3">
      <c r="A268" s="1">
        <v>46105</v>
      </c>
      <c r="C268">
        <f t="shared" si="9"/>
        <v>61948.431177767765</v>
      </c>
      <c r="D268" s="2">
        <f t="shared" si="10"/>
        <v>56945.978068518176</v>
      </c>
      <c r="E268" s="2">
        <f t="shared" si="11"/>
        <v>66950.884287017354</v>
      </c>
    </row>
    <row r="269" spans="1:5" x14ac:dyDescent="0.3">
      <c r="A269" s="1">
        <v>46106</v>
      </c>
      <c r="C269">
        <f t="shared" si="9"/>
        <v>61968.706505434595</v>
      </c>
      <c r="D269" s="2">
        <f t="shared" si="10"/>
        <v>56940.298824893209</v>
      </c>
      <c r="E269" s="2">
        <f t="shared" si="11"/>
        <v>66997.114185975981</v>
      </c>
    </row>
    <row r="270" spans="1:5" x14ac:dyDescent="0.3">
      <c r="A270" s="1">
        <v>46107</v>
      </c>
      <c r="C270">
        <f t="shared" si="9"/>
        <v>61988.981833101432</v>
      </c>
      <c r="D270" s="2">
        <f t="shared" si="10"/>
        <v>56934.701684176165</v>
      </c>
      <c r="E270" s="2">
        <f t="shared" si="11"/>
        <v>67043.261982026699</v>
      </c>
    </row>
    <row r="271" spans="1:5" x14ac:dyDescent="0.3">
      <c r="A271" s="1">
        <v>46108</v>
      </c>
      <c r="C271">
        <f t="shared" si="9"/>
        <v>62009.257160768262</v>
      </c>
      <c r="D271" s="2">
        <f t="shared" si="10"/>
        <v>56929.185341394288</v>
      </c>
      <c r="E271" s="2">
        <f t="shared" si="11"/>
        <v>67089.328980142236</v>
      </c>
    </row>
    <row r="272" spans="1:5" x14ac:dyDescent="0.3">
      <c r="A272" s="1">
        <v>46109</v>
      </c>
      <c r="C272">
        <f t="shared" si="9"/>
        <v>62029.532488435099</v>
      </c>
      <c r="D272" s="2">
        <f t="shared" si="10"/>
        <v>56923.748521820387</v>
      </c>
      <c r="E272" s="2">
        <f t="shared" si="11"/>
        <v>67135.316455049819</v>
      </c>
    </row>
    <row r="273" spans="1:5" x14ac:dyDescent="0.3">
      <c r="A273" s="1">
        <v>46110</v>
      </c>
      <c r="C273">
        <f t="shared" si="9"/>
        <v>62049.807816101929</v>
      </c>
      <c r="D273" s="2">
        <f t="shared" si="10"/>
        <v>56918.389980013511</v>
      </c>
      <c r="E273" s="2">
        <f t="shared" si="11"/>
        <v>67181.225652190347</v>
      </c>
    </row>
    <row r="274" spans="1:5" x14ac:dyDescent="0.3">
      <c r="A274" s="1">
        <v>46111</v>
      </c>
      <c r="C274">
        <f t="shared" si="9"/>
        <v>62070.083143768767</v>
      </c>
      <c r="D274" s="2">
        <f t="shared" si="10"/>
        <v>56913.108498898335</v>
      </c>
      <c r="E274" s="2">
        <f t="shared" si="11"/>
        <v>67227.057788639198</v>
      </c>
    </row>
    <row r="275" spans="1:5" x14ac:dyDescent="0.3">
      <c r="A275" s="1">
        <v>46112</v>
      </c>
      <c r="C275">
        <f t="shared" si="9"/>
        <v>62090.358471435597</v>
      </c>
      <c r="D275" s="2">
        <f t="shared" si="10"/>
        <v>56907.902888881137</v>
      </c>
      <c r="E275" s="2">
        <f t="shared" si="11"/>
        <v>67272.814053990049</v>
      </c>
    </row>
    <row r="276" spans="1:5" x14ac:dyDescent="0.3">
      <c r="A276" s="1">
        <v>46113</v>
      </c>
      <c r="C276">
        <f t="shared" si="9"/>
        <v>62110.633799102434</v>
      </c>
      <c r="D276" s="2">
        <f t="shared" si="10"/>
        <v>56902.771987000851</v>
      </c>
      <c r="E276" s="2">
        <f t="shared" si="11"/>
        <v>67318.495611204009</v>
      </c>
    </row>
    <row r="277" spans="1:5" x14ac:dyDescent="0.3">
      <c r="A277" s="1">
        <v>46114</v>
      </c>
      <c r="C277">
        <f t="shared" si="9"/>
        <v>62130.909126769264</v>
      </c>
      <c r="D277" s="2">
        <f t="shared" si="10"/>
        <v>56897.71465611329</v>
      </c>
      <c r="E277" s="2">
        <f t="shared" si="11"/>
        <v>67364.103597425245</v>
      </c>
    </row>
    <row r="278" spans="1:5" x14ac:dyDescent="0.3">
      <c r="A278" s="1">
        <v>46115</v>
      </c>
      <c r="C278">
        <f t="shared" si="9"/>
        <v>62151.184454436101</v>
      </c>
      <c r="D278" s="2">
        <f t="shared" si="10"/>
        <v>56892.729784107149</v>
      </c>
      <c r="E278" s="2">
        <f t="shared" si="11"/>
        <v>67409.639124765046</v>
      </c>
    </row>
    <row r="279" spans="1:5" x14ac:dyDescent="0.3">
      <c r="A279" s="1">
        <v>46116</v>
      </c>
      <c r="C279">
        <f t="shared" si="9"/>
        <v>62171.459782102931</v>
      </c>
      <c r="D279" s="2">
        <f t="shared" si="10"/>
        <v>56887.816283150183</v>
      </c>
      <c r="E279" s="2">
        <f t="shared" si="11"/>
        <v>67455.103281055679</v>
      </c>
    </row>
    <row r="280" spans="1:5" x14ac:dyDescent="0.3">
      <c r="A280" s="1">
        <v>46117</v>
      </c>
      <c r="C280">
        <f t="shared" si="9"/>
        <v>62191.735109769768</v>
      </c>
      <c r="D280" s="2">
        <f t="shared" si="10"/>
        <v>56882.973088964187</v>
      </c>
      <c r="E280" s="2">
        <f t="shared" si="11"/>
        <v>67500.497130575342</v>
      </c>
    </row>
    <row r="281" spans="1:5" x14ac:dyDescent="0.3">
      <c r="A281" s="1">
        <v>46118</v>
      </c>
      <c r="C281">
        <f t="shared" si="9"/>
        <v>62212.010437436598</v>
      </c>
      <c r="D281" s="2">
        <f t="shared" si="10"/>
        <v>56878.199160127464</v>
      </c>
      <c r="E281" s="2">
        <f t="shared" si="11"/>
        <v>67545.821714745733</v>
      </c>
    </row>
    <row r="282" spans="1:5" x14ac:dyDescent="0.3">
      <c r="A282" s="1">
        <v>46119</v>
      </c>
      <c r="C282">
        <f t="shared" si="9"/>
        <v>62232.285765103436</v>
      </c>
      <c r="D282" s="2">
        <f t="shared" si="10"/>
        <v>56873.493477403506</v>
      </c>
      <c r="E282" s="2">
        <f t="shared" si="11"/>
        <v>67591.078052803365</v>
      </c>
    </row>
    <row r="283" spans="1:5" x14ac:dyDescent="0.3">
      <c r="A283" s="1">
        <v>46120</v>
      </c>
      <c r="C283">
        <f t="shared" si="9"/>
        <v>62252.561092770266</v>
      </c>
      <c r="D283" s="2">
        <f t="shared" si="10"/>
        <v>56868.855043094663</v>
      </c>
      <c r="E283" s="2">
        <f t="shared" si="11"/>
        <v>67636.267142445868</v>
      </c>
    </row>
    <row r="284" spans="1:5" x14ac:dyDescent="0.3">
      <c r="A284" s="1">
        <v>46121</v>
      </c>
      <c r="C284">
        <f t="shared" si="9"/>
        <v>62272.836420437103</v>
      </c>
      <c r="D284" s="2">
        <f t="shared" si="10"/>
        <v>56864.282880419785</v>
      </c>
      <c r="E284" s="2">
        <f t="shared" si="11"/>
        <v>67681.389960454413</v>
      </c>
    </row>
    <row r="285" spans="1:5" x14ac:dyDescent="0.3">
      <c r="A285" s="1">
        <v>46122</v>
      </c>
      <c r="C285">
        <f t="shared" si="9"/>
        <v>62293.111748103933</v>
      </c>
      <c r="D285" s="2">
        <f t="shared" si="10"/>
        <v>56859.77603291456</v>
      </c>
      <c r="E285" s="2">
        <f t="shared" si="11"/>
        <v>67726.447463293298</v>
      </c>
    </row>
    <row r="286" spans="1:5" x14ac:dyDescent="0.3">
      <c r="A286" s="1">
        <v>46123</v>
      </c>
      <c r="C286">
        <f t="shared" si="9"/>
        <v>62313.387075770763</v>
      </c>
      <c r="D286" s="2">
        <f t="shared" si="10"/>
        <v>56855.333563853834</v>
      </c>
      <c r="E286" s="2">
        <f t="shared" si="11"/>
        <v>67771.440587687684</v>
      </c>
    </row>
    <row r="287" spans="1:5" x14ac:dyDescent="0.3">
      <c r="A287" s="1">
        <v>46124</v>
      </c>
      <c r="C287">
        <f t="shared" si="9"/>
        <v>62333.6624034376</v>
      </c>
      <c r="D287" s="2">
        <f t="shared" si="10"/>
        <v>56850.954555694625</v>
      </c>
      <c r="E287" s="2">
        <f t="shared" si="11"/>
        <v>67816.370251180575</v>
      </c>
    </row>
    <row r="288" spans="1:5" x14ac:dyDescent="0.3">
      <c r="A288" s="1">
        <v>46125</v>
      </c>
      <c r="C288">
        <f t="shared" si="9"/>
        <v>62353.937731104437</v>
      </c>
      <c r="D288" s="2">
        <f t="shared" si="10"/>
        <v>56846.638109539177</v>
      </c>
      <c r="E288" s="2">
        <f t="shared" si="11"/>
        <v>67861.237352669705</v>
      </c>
    </row>
    <row r="289" spans="1:5" x14ac:dyDescent="0.3">
      <c r="A289" s="1">
        <v>46126</v>
      </c>
      <c r="C289">
        <f t="shared" si="9"/>
        <v>62374.213058771267</v>
      </c>
      <c r="D289" s="2">
        <f t="shared" si="10"/>
        <v>56842.383344617032</v>
      </c>
      <c r="E289" s="2">
        <f t="shared" si="11"/>
        <v>67906.042772925503</v>
      </c>
    </row>
    <row r="290" spans="1:5" x14ac:dyDescent="0.3">
      <c r="A290" s="1">
        <v>46127</v>
      </c>
      <c r="C290">
        <f t="shared" ref="C290:C321" si="12">_xlfn.FORECAST.ETS(A290,$B$2:$B$161,$A$2:$A$161,1,1)</f>
        <v>62394.488386438097</v>
      </c>
      <c r="D290" s="2">
        <f t="shared" ref="D290:D321" si="13">C290-_xlfn.FORECAST.ETS.CONFINT(A290,$B$2:$B$161,$A$2:$A$161,0.95,1,1)</f>
        <v>56838.189397785449</v>
      </c>
      <c r="E290" s="2">
        <f t="shared" ref="E290:E321" si="14">C290+_xlfn.FORECAST.ETS.CONFINT(A290,$B$2:$B$161,$A$2:$A$161,0.95,1,1)</f>
        <v>67950.787375090746</v>
      </c>
    </row>
    <row r="291" spans="1:5" x14ac:dyDescent="0.3">
      <c r="A291" s="1">
        <v>46128</v>
      </c>
      <c r="C291">
        <f t="shared" si="12"/>
        <v>62414.763714104934</v>
      </c>
      <c r="D291" s="2">
        <f t="shared" si="13"/>
        <v>56834.055423047204</v>
      </c>
      <c r="E291" s="2">
        <f t="shared" si="14"/>
        <v>67995.472005162665</v>
      </c>
    </row>
    <row r="292" spans="1:5" x14ac:dyDescent="0.3">
      <c r="A292" s="1">
        <v>46129</v>
      </c>
      <c r="C292">
        <f t="shared" si="12"/>
        <v>62435.039041771772</v>
      </c>
      <c r="D292" s="2">
        <f t="shared" si="13"/>
        <v>56829.980591085157</v>
      </c>
      <c r="E292" s="2">
        <f t="shared" si="14"/>
        <v>68040.097492458386</v>
      </c>
    </row>
    <row r="293" spans="1:5" x14ac:dyDescent="0.3">
      <c r="A293" s="1">
        <v>46130</v>
      </c>
      <c r="C293">
        <f t="shared" si="12"/>
        <v>62455.314369438602</v>
      </c>
      <c r="D293" s="2">
        <f t="shared" si="13"/>
        <v>56825.964088812892</v>
      </c>
      <c r="E293" s="2">
        <f t="shared" si="14"/>
        <v>68084.664650064311</v>
      </c>
    </row>
    <row r="294" spans="1:5" x14ac:dyDescent="0.3">
      <c r="A294" s="1">
        <v>46131</v>
      </c>
      <c r="C294">
        <f t="shared" si="12"/>
        <v>62475.589697105432</v>
      </c>
      <c r="D294" s="2">
        <f t="shared" si="13"/>
        <v>56822.005118940717</v>
      </c>
      <c r="E294" s="2">
        <f t="shared" si="14"/>
        <v>68129.174275270154</v>
      </c>
    </row>
    <row r="295" spans="1:5" x14ac:dyDescent="0.3">
      <c r="A295" s="1">
        <v>46132</v>
      </c>
      <c r="C295">
        <f t="shared" si="12"/>
        <v>62495.865024772269</v>
      </c>
      <c r="D295" s="2">
        <f t="shared" si="13"/>
        <v>56818.102899556339</v>
      </c>
      <c r="E295" s="2">
        <f t="shared" si="14"/>
        <v>68173.627149988199</v>
      </c>
    </row>
    <row r="296" spans="1:5" x14ac:dyDescent="0.3">
      <c r="A296" s="1">
        <v>46133</v>
      </c>
      <c r="C296">
        <f t="shared" si="12"/>
        <v>62516.140352439099</v>
      </c>
      <c r="D296" s="2">
        <f t="shared" si="13"/>
        <v>56814.256663719723</v>
      </c>
      <c r="E296" s="2">
        <f t="shared" si="14"/>
        <v>68218.024041158467</v>
      </c>
    </row>
    <row r="297" spans="1:5" x14ac:dyDescent="0.3">
      <c r="A297" s="1">
        <v>46134</v>
      </c>
      <c r="C297">
        <f t="shared" si="12"/>
        <v>62536.415680105936</v>
      </c>
      <c r="D297" s="2">
        <f t="shared" si="13"/>
        <v>56810.465659071524</v>
      </c>
      <c r="E297" s="2">
        <f t="shared" si="14"/>
        <v>68262.365701140341</v>
      </c>
    </row>
    <row r="298" spans="1:5" x14ac:dyDescent="0.3">
      <c r="A298" s="1">
        <v>46135</v>
      </c>
      <c r="C298">
        <f t="shared" si="12"/>
        <v>62556.691007772766</v>
      </c>
      <c r="D298" s="2">
        <f t="shared" si="13"/>
        <v>56806.729147454404</v>
      </c>
      <c r="E298" s="2">
        <f t="shared" si="14"/>
        <v>68306.652868091129</v>
      </c>
    </row>
    <row r="299" spans="1:5" x14ac:dyDescent="0.3">
      <c r="A299" s="1">
        <v>46136</v>
      </c>
      <c r="C299">
        <f t="shared" si="12"/>
        <v>62576.966335439603</v>
      </c>
      <c r="D299" s="2">
        <f t="shared" si="13"/>
        <v>56803.046404546978</v>
      </c>
      <c r="E299" s="2">
        <f t="shared" si="14"/>
        <v>68350.886266332236</v>
      </c>
    </row>
    <row r="300" spans="1:5" x14ac:dyDescent="0.3">
      <c r="A300" s="1">
        <v>46137</v>
      </c>
      <c r="C300">
        <f t="shared" si="12"/>
        <v>62597.241663106433</v>
      </c>
      <c r="D300" s="2">
        <f t="shared" si="13"/>
        <v>56799.416719509623</v>
      </c>
      <c r="E300" s="2">
        <f t="shared" si="14"/>
        <v>68395.066606703243</v>
      </c>
    </row>
    <row r="301" spans="1:5" x14ac:dyDescent="0.3">
      <c r="A301" s="1">
        <v>46138</v>
      </c>
      <c r="C301">
        <f t="shared" si="12"/>
        <v>62617.516990773271</v>
      </c>
      <c r="D301" s="2">
        <f t="shared" si="13"/>
        <v>56795.839394641887</v>
      </c>
      <c r="E301" s="2">
        <f t="shared" si="14"/>
        <v>68439.194586904661</v>
      </c>
    </row>
    <row r="302" spans="1:5" x14ac:dyDescent="0.3">
      <c r="A302" s="1">
        <v>46139</v>
      </c>
      <c r="C302">
        <f t="shared" si="12"/>
        <v>62637.792318440101</v>
      </c>
      <c r="D302" s="2">
        <f t="shared" si="13"/>
        <v>56792.313745050858</v>
      </c>
      <c r="E302" s="2">
        <f t="shared" si="14"/>
        <v>68483.27089182935</v>
      </c>
    </row>
    <row r="303" spans="1:5" x14ac:dyDescent="0.3">
      <c r="A303" s="1">
        <v>46140</v>
      </c>
      <c r="C303">
        <f t="shared" si="12"/>
        <v>62658.067646106938</v>
      </c>
      <c r="D303" s="2">
        <f t="shared" si="13"/>
        <v>56788.839098330245</v>
      </c>
      <c r="E303" s="2">
        <f t="shared" si="14"/>
        <v>68527.296193883623</v>
      </c>
    </row>
    <row r="304" spans="1:5" x14ac:dyDescent="0.3">
      <c r="A304" s="1">
        <v>46141</v>
      </c>
      <c r="C304">
        <f t="shared" si="12"/>
        <v>62678.342973773768</v>
      </c>
      <c r="D304" s="2">
        <f t="shared" si="13"/>
        <v>56785.414794249598</v>
      </c>
      <c r="E304" s="2">
        <f t="shared" si="14"/>
        <v>68571.27115329793</v>
      </c>
    </row>
    <row r="305" spans="1:5" x14ac:dyDescent="0.3">
      <c r="A305" s="1">
        <v>46142</v>
      </c>
      <c r="C305">
        <f t="shared" si="12"/>
        <v>62698.618301440605</v>
      </c>
      <c r="D305" s="2">
        <f t="shared" si="13"/>
        <v>56782.040184453421</v>
      </c>
      <c r="E305" s="2">
        <f t="shared" si="14"/>
        <v>68615.196418427789</v>
      </c>
    </row>
    <row r="306" spans="1:5" x14ac:dyDescent="0.3">
      <c r="A306" s="1">
        <v>46143</v>
      </c>
      <c r="C306">
        <f t="shared" si="12"/>
        <v>62718.893629107435</v>
      </c>
      <c r="D306" s="2">
        <f t="shared" si="13"/>
        <v>56778.714632169605</v>
      </c>
      <c r="E306" s="2">
        <f t="shared" si="14"/>
        <v>68659.072626045265</v>
      </c>
    </row>
    <row r="307" spans="1:5" x14ac:dyDescent="0.3">
      <c r="A307" s="1">
        <v>46144</v>
      </c>
      <c r="C307">
        <f t="shared" si="12"/>
        <v>62739.168956774272</v>
      </c>
      <c r="D307" s="2">
        <f t="shared" si="13"/>
        <v>56775.437511927143</v>
      </c>
      <c r="E307" s="2">
        <f t="shared" si="14"/>
        <v>68702.900401621402</v>
      </c>
    </row>
    <row r="308" spans="1:5" x14ac:dyDescent="0.3">
      <c r="A308" s="1">
        <v>46145</v>
      </c>
      <c r="C308">
        <f t="shared" si="12"/>
        <v>62759.444284441102</v>
      </c>
      <c r="D308" s="2">
        <f t="shared" si="13"/>
        <v>56772.208209282333</v>
      </c>
      <c r="E308" s="2">
        <f t="shared" si="14"/>
        <v>68746.680359599864</v>
      </c>
    </row>
    <row r="309" spans="1:5" x14ac:dyDescent="0.3">
      <c r="A309" s="1">
        <v>46146</v>
      </c>
      <c r="C309">
        <f t="shared" si="12"/>
        <v>62779.71961210794</v>
      </c>
      <c r="D309" s="2">
        <f t="shared" si="13"/>
        <v>56769.026120553637</v>
      </c>
      <c r="E309" s="2">
        <f t="shared" si="14"/>
        <v>68790.413103662242</v>
      </c>
    </row>
    <row r="310" spans="1:5" x14ac:dyDescent="0.3">
      <c r="A310" s="1">
        <v>46147</v>
      </c>
      <c r="C310">
        <f t="shared" si="12"/>
        <v>62799.99493977477</v>
      </c>
      <c r="D310" s="2">
        <f t="shared" si="13"/>
        <v>56765.890652564449</v>
      </c>
      <c r="E310" s="2">
        <f t="shared" si="14"/>
        <v>68834.099226985098</v>
      </c>
    </row>
    <row r="311" spans="1:5" x14ac:dyDescent="0.3">
      <c r="A311" s="1">
        <v>46148</v>
      </c>
      <c r="C311">
        <f t="shared" si="12"/>
        <v>62820.270267441607</v>
      </c>
      <c r="D311" s="2">
        <f t="shared" si="13"/>
        <v>56762.801222393806</v>
      </c>
      <c r="E311" s="2">
        <f t="shared" si="14"/>
        <v>68877.739312489401</v>
      </c>
    </row>
    <row r="312" spans="1:5" x14ac:dyDescent="0.3">
      <c r="A312" s="1">
        <v>46149</v>
      </c>
      <c r="C312">
        <f t="shared" si="12"/>
        <v>62840.545595108437</v>
      </c>
      <c r="D312" s="2">
        <f t="shared" si="13"/>
        <v>56759.757257134515</v>
      </c>
      <c r="E312" s="2">
        <f t="shared" si="14"/>
        <v>68921.333933082351</v>
      </c>
    </row>
    <row r="313" spans="1:5" x14ac:dyDescent="0.3">
      <c r="A313" s="1">
        <v>46150</v>
      </c>
      <c r="C313">
        <f t="shared" si="12"/>
        <v>62860.820922775274</v>
      </c>
      <c r="D313" s="2">
        <f t="shared" si="13"/>
        <v>56756.758193658578</v>
      </c>
      <c r="E313" s="2">
        <f t="shared" si="14"/>
        <v>68964.883651891971</v>
      </c>
    </row>
    <row r="314" spans="1:5" x14ac:dyDescent="0.3">
      <c r="A314" s="1">
        <v>46151</v>
      </c>
      <c r="C314">
        <f t="shared" si="12"/>
        <v>62881.096250442104</v>
      </c>
      <c r="D314" s="2">
        <f t="shared" si="13"/>
        <v>56753.803478389542</v>
      </c>
      <c r="E314" s="2">
        <f t="shared" si="14"/>
        <v>69008.389022494666</v>
      </c>
    </row>
    <row r="315" spans="1:5" x14ac:dyDescent="0.3">
      <c r="A315" s="1">
        <v>46152</v>
      </c>
      <c r="C315">
        <f t="shared" si="12"/>
        <v>62901.371578108941</v>
      </c>
      <c r="D315" s="2">
        <f t="shared" si="13"/>
        <v>56750.892567081661</v>
      </c>
      <c r="E315" s="2">
        <f t="shared" si="14"/>
        <v>69051.850589136215</v>
      </c>
    </row>
    <row r="316" spans="1:5" x14ac:dyDescent="0.3">
      <c r="A316" s="1">
        <v>46153</v>
      </c>
      <c r="C316">
        <f t="shared" si="12"/>
        <v>62921.646905775771</v>
      </c>
      <c r="D316" s="2">
        <f t="shared" si="13"/>
        <v>56748.024924605415</v>
      </c>
      <c r="E316" s="2">
        <f t="shared" si="14"/>
        <v>69095.268886946127</v>
      </c>
    </row>
    <row r="317" spans="1:5" x14ac:dyDescent="0.3">
      <c r="A317" s="1">
        <v>46154</v>
      </c>
      <c r="C317">
        <f t="shared" si="12"/>
        <v>62941.922233442609</v>
      </c>
      <c r="D317" s="2">
        <f t="shared" si="13"/>
        <v>56745.200024739439</v>
      </c>
      <c r="E317" s="2">
        <f t="shared" si="14"/>
        <v>69138.644442145771</v>
      </c>
    </row>
    <row r="318" spans="1:5" x14ac:dyDescent="0.3">
      <c r="A318" s="1">
        <v>46155</v>
      </c>
      <c r="C318">
        <f t="shared" si="12"/>
        <v>62962.197561109439</v>
      </c>
      <c r="D318" s="2">
        <f t="shared" si="13"/>
        <v>56742.417349968338</v>
      </c>
      <c r="E318" s="2">
        <f t="shared" si="14"/>
        <v>69181.977772250539</v>
      </c>
    </row>
    <row r="319" spans="1:5" x14ac:dyDescent="0.3">
      <c r="A319" s="1">
        <v>46156</v>
      </c>
      <c r="C319">
        <f t="shared" si="12"/>
        <v>62982.472888776276</v>
      </c>
      <c r="D319" s="2">
        <f t="shared" si="13"/>
        <v>56739.676391286433</v>
      </c>
      <c r="E319" s="2">
        <f t="shared" si="14"/>
        <v>69225.269386266125</v>
      </c>
    </row>
    <row r="320" spans="1:5" x14ac:dyDescent="0.3">
      <c r="A320" s="1">
        <v>46157</v>
      </c>
      <c r="C320">
        <f t="shared" si="12"/>
        <v>63002.748216443106</v>
      </c>
      <c r="D320" s="2">
        <f t="shared" si="13"/>
        <v>56736.976648007054</v>
      </c>
      <c r="E320" s="2">
        <f t="shared" si="14"/>
        <v>69268.519784879158</v>
      </c>
    </row>
    <row r="321" spans="1:5" x14ac:dyDescent="0.3">
      <c r="A321" s="1">
        <v>46158</v>
      </c>
      <c r="C321">
        <f t="shared" si="12"/>
        <v>63023.023544109943</v>
      </c>
      <c r="D321" s="2">
        <f t="shared" si="13"/>
        <v>56734.317627577322</v>
      </c>
      <c r="E321" s="2">
        <f t="shared" si="14"/>
        <v>69311.729460642571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E078-CE73-4299-837C-8EA9D72DAF83}">
  <dimension ref="B1:M71"/>
  <sheetViews>
    <sheetView showGridLines="0" tabSelected="1" zoomScale="42" zoomScaleNormal="42" workbookViewId="0">
      <selection activeCell="H3" sqref="H3"/>
    </sheetView>
  </sheetViews>
  <sheetFormatPr defaultRowHeight="14.4" x14ac:dyDescent="0.3"/>
  <cols>
    <col min="2" max="2" width="23.6640625" bestFit="1" customWidth="1"/>
    <col min="3" max="3" width="20.77734375" bestFit="1" customWidth="1"/>
    <col min="4" max="5" width="12.6640625" bestFit="1" customWidth="1"/>
    <col min="6" max="6" width="22.88671875" bestFit="1" customWidth="1"/>
    <col min="7" max="7" width="20.77734375" bestFit="1" customWidth="1"/>
    <col min="8" max="8" width="22.88671875" bestFit="1" customWidth="1"/>
    <col min="9" max="9" width="20.109375" bestFit="1" customWidth="1"/>
    <col min="10" max="10" width="7.88671875" bestFit="1" customWidth="1"/>
  </cols>
  <sheetData>
    <row r="1" spans="2:13" ht="61.2" x14ac:dyDescent="0.3">
      <c r="B1" s="16" t="s">
        <v>20</v>
      </c>
      <c r="C1" s="16"/>
      <c r="D1" s="16"/>
      <c r="E1" s="16"/>
      <c r="F1" s="16"/>
      <c r="G1" s="16"/>
      <c r="H1" s="16"/>
      <c r="I1" s="16"/>
      <c r="J1" s="5"/>
      <c r="K1" s="5"/>
      <c r="L1" s="5"/>
      <c r="M1" s="4"/>
    </row>
    <row r="2" spans="2:13" ht="15" thickBot="1" x14ac:dyDescent="0.35">
      <c r="B2" s="6"/>
      <c r="C2" s="6"/>
      <c r="D2" s="6"/>
      <c r="E2" s="6"/>
      <c r="F2" s="6"/>
      <c r="G2" s="6"/>
      <c r="H2" s="6"/>
      <c r="I2" s="6"/>
    </row>
    <row r="3" spans="2:13" ht="21.6" thickBot="1" x14ac:dyDescent="0.45">
      <c r="B3" s="7" t="s">
        <v>15</v>
      </c>
      <c r="C3" s="8">
        <f>Analysis!Q3</f>
        <v>4.4829901381061827E-4</v>
      </c>
      <c r="D3" s="9" t="s">
        <v>16</v>
      </c>
      <c r="E3" s="8">
        <f>Analysis!Q4</f>
        <v>6.0529111792061831E-3</v>
      </c>
      <c r="F3" s="10" t="s">
        <v>17</v>
      </c>
      <c r="G3" s="8">
        <f>Analysis!Q5</f>
        <v>-6.6199728678224309E-2</v>
      </c>
      <c r="H3" s="7" t="s">
        <v>21</v>
      </c>
      <c r="I3" s="8">
        <f>Analysis!Q6</f>
        <v>4.4933426964581136E-2</v>
      </c>
    </row>
    <row r="4" spans="2:13" x14ac:dyDescent="0.3">
      <c r="B4" s="6"/>
      <c r="C4" s="6"/>
      <c r="D4" s="6"/>
      <c r="E4" s="6"/>
      <c r="F4" s="6"/>
      <c r="G4" s="6"/>
      <c r="H4" s="6"/>
      <c r="I4" s="6"/>
      <c r="K4" s="3"/>
    </row>
    <row r="5" spans="2:13" x14ac:dyDescent="0.3">
      <c r="B5" s="6"/>
      <c r="C5" s="6"/>
      <c r="D5" s="6"/>
      <c r="E5" s="6"/>
      <c r="F5" s="6"/>
      <c r="G5" s="6"/>
      <c r="H5" s="6"/>
      <c r="I5" s="6"/>
    </row>
    <row r="6" spans="2:13" x14ac:dyDescent="0.3">
      <c r="B6" s="6"/>
      <c r="C6" s="6"/>
      <c r="D6" s="6"/>
      <c r="E6" s="6"/>
      <c r="F6" s="6"/>
      <c r="G6" s="6"/>
      <c r="H6" s="6"/>
      <c r="I6" s="6"/>
    </row>
    <row r="7" spans="2:13" x14ac:dyDescent="0.3">
      <c r="B7" s="6"/>
      <c r="C7" s="6"/>
      <c r="D7" s="6"/>
      <c r="E7" s="6"/>
      <c r="F7" s="6"/>
      <c r="G7" s="6"/>
      <c r="H7" s="6"/>
      <c r="I7" s="6"/>
    </row>
    <row r="8" spans="2:13" x14ac:dyDescent="0.3">
      <c r="B8" s="6"/>
      <c r="C8" s="6"/>
      <c r="D8" s="6"/>
      <c r="E8" s="6"/>
      <c r="F8" s="6"/>
      <c r="G8" s="6"/>
      <c r="H8" s="6"/>
      <c r="I8" s="6"/>
    </row>
    <row r="9" spans="2:13" x14ac:dyDescent="0.3">
      <c r="B9" s="6"/>
      <c r="C9" s="6"/>
      <c r="D9" s="6"/>
      <c r="E9" s="6"/>
      <c r="F9" s="6"/>
      <c r="G9" s="6"/>
      <c r="H9" s="6"/>
      <c r="I9" s="6"/>
    </row>
    <row r="10" spans="2:13" x14ac:dyDescent="0.3">
      <c r="B10" s="6"/>
      <c r="C10" s="6"/>
      <c r="D10" s="6"/>
      <c r="E10" s="6"/>
      <c r="F10" s="6"/>
      <c r="G10" s="6"/>
      <c r="H10" s="6"/>
      <c r="I10" s="6"/>
    </row>
    <row r="11" spans="2:13" x14ac:dyDescent="0.3">
      <c r="B11" s="6"/>
      <c r="C11" s="6"/>
      <c r="D11" s="6"/>
      <c r="E11" s="6"/>
      <c r="F11" s="6"/>
      <c r="G11" s="6"/>
      <c r="H11" s="6"/>
      <c r="I11" s="6"/>
    </row>
    <row r="12" spans="2:13" x14ac:dyDescent="0.3">
      <c r="B12" s="6"/>
      <c r="C12" s="6"/>
      <c r="D12" s="6"/>
      <c r="E12" s="6"/>
      <c r="F12" s="6"/>
      <c r="G12" s="6"/>
      <c r="H12" s="6"/>
      <c r="I12" s="6"/>
    </row>
    <row r="13" spans="2:13" x14ac:dyDescent="0.3">
      <c r="B13" s="6"/>
      <c r="C13" s="6"/>
      <c r="D13" s="6"/>
      <c r="E13" s="6"/>
      <c r="F13" s="6"/>
      <c r="G13" s="6"/>
      <c r="H13" s="6"/>
      <c r="I13" s="6"/>
    </row>
    <row r="14" spans="2:13" x14ac:dyDescent="0.3">
      <c r="B14" s="6"/>
      <c r="C14" s="6"/>
      <c r="D14" s="6"/>
      <c r="E14" s="6"/>
      <c r="F14" s="6"/>
      <c r="G14" s="6"/>
      <c r="H14" s="6"/>
      <c r="I14" s="6"/>
    </row>
    <row r="15" spans="2:13" x14ac:dyDescent="0.3">
      <c r="B15" s="6"/>
      <c r="C15" s="6"/>
      <c r="D15" s="6"/>
      <c r="E15" s="6"/>
      <c r="F15" s="6"/>
      <c r="G15" s="6"/>
      <c r="H15" s="6"/>
      <c r="I15" s="6"/>
    </row>
    <row r="16" spans="2:13" x14ac:dyDescent="0.3">
      <c r="B16" s="6"/>
      <c r="C16" s="6"/>
      <c r="D16" s="6"/>
      <c r="E16" s="6"/>
      <c r="F16" s="6"/>
      <c r="G16" s="6"/>
      <c r="H16" s="6"/>
      <c r="I16" s="6"/>
    </row>
    <row r="17" spans="2:9" x14ac:dyDescent="0.3">
      <c r="B17" s="6"/>
      <c r="C17" s="6"/>
      <c r="D17" s="6"/>
      <c r="E17" s="6"/>
      <c r="F17" s="6"/>
      <c r="G17" s="6"/>
      <c r="H17" s="6"/>
      <c r="I17" s="6"/>
    </row>
    <row r="18" spans="2:9" x14ac:dyDescent="0.3">
      <c r="B18" s="6"/>
      <c r="C18" s="6"/>
      <c r="D18" s="6"/>
      <c r="E18" s="6"/>
      <c r="F18" s="6"/>
      <c r="G18" s="6"/>
      <c r="H18" s="6"/>
      <c r="I18" s="6"/>
    </row>
    <row r="19" spans="2:9" x14ac:dyDescent="0.3">
      <c r="B19" s="6"/>
      <c r="C19" s="6"/>
      <c r="D19" s="6"/>
      <c r="E19" s="6"/>
      <c r="F19" s="6"/>
      <c r="G19" s="6"/>
      <c r="H19" s="6"/>
      <c r="I19" s="6"/>
    </row>
    <row r="20" spans="2:9" x14ac:dyDescent="0.3">
      <c r="B20" s="6"/>
      <c r="C20" s="6"/>
      <c r="D20" s="6"/>
      <c r="E20" s="6"/>
      <c r="F20" s="6"/>
      <c r="G20" s="6"/>
      <c r="H20" s="6"/>
      <c r="I20" s="6"/>
    </row>
    <row r="21" spans="2:9" x14ac:dyDescent="0.3">
      <c r="B21" s="6"/>
      <c r="C21" s="6"/>
      <c r="D21" s="6"/>
      <c r="E21" s="6"/>
      <c r="F21" s="6"/>
      <c r="G21" s="6"/>
      <c r="H21" s="6"/>
      <c r="I21" s="6"/>
    </row>
    <row r="22" spans="2:9" x14ac:dyDescent="0.3">
      <c r="B22" s="6"/>
      <c r="C22" s="6"/>
      <c r="D22" s="6"/>
      <c r="E22" s="6"/>
      <c r="F22" s="6"/>
      <c r="G22" s="6"/>
      <c r="H22" s="6"/>
      <c r="I22" s="6"/>
    </row>
    <row r="23" spans="2:9" x14ac:dyDescent="0.3">
      <c r="B23" s="6"/>
      <c r="C23" s="6"/>
      <c r="D23" s="6"/>
      <c r="E23" s="6"/>
      <c r="F23" s="6"/>
      <c r="G23" s="6"/>
      <c r="H23" s="6"/>
      <c r="I23" s="6"/>
    </row>
    <row r="24" spans="2:9" x14ac:dyDescent="0.3">
      <c r="B24" s="6"/>
      <c r="C24" s="6"/>
      <c r="D24" s="6"/>
      <c r="E24" s="6"/>
      <c r="F24" s="6"/>
      <c r="G24" s="6"/>
      <c r="H24" s="6"/>
      <c r="I24" s="6"/>
    </row>
    <row r="25" spans="2:9" x14ac:dyDescent="0.3">
      <c r="B25" s="6"/>
      <c r="C25" s="6"/>
      <c r="D25" s="6"/>
      <c r="E25" s="6"/>
      <c r="F25" s="6"/>
      <c r="G25" s="6"/>
      <c r="H25" s="6"/>
      <c r="I25" s="6"/>
    </row>
    <row r="26" spans="2:9" x14ac:dyDescent="0.3">
      <c r="B26" s="6"/>
      <c r="C26" s="6"/>
      <c r="D26" s="6"/>
      <c r="E26" s="6"/>
      <c r="F26" s="6"/>
      <c r="G26" s="6"/>
      <c r="H26" s="6"/>
      <c r="I26" s="6"/>
    </row>
    <row r="27" spans="2:9" x14ac:dyDescent="0.3">
      <c r="B27" s="6"/>
      <c r="C27" s="6"/>
      <c r="D27" s="6"/>
      <c r="E27" s="6"/>
      <c r="F27" s="6"/>
      <c r="G27" s="6"/>
      <c r="H27" s="6"/>
      <c r="I27" s="6"/>
    </row>
    <row r="28" spans="2:9" x14ac:dyDescent="0.3">
      <c r="B28" s="6"/>
      <c r="C28" s="6"/>
      <c r="D28" s="6"/>
      <c r="E28" s="6"/>
      <c r="F28" s="6"/>
      <c r="G28" s="6"/>
      <c r="H28" s="6"/>
      <c r="I28" s="6"/>
    </row>
    <row r="29" spans="2:9" x14ac:dyDescent="0.3">
      <c r="B29" s="6"/>
      <c r="C29" s="6"/>
      <c r="D29" s="6"/>
      <c r="E29" s="6"/>
      <c r="F29" s="6"/>
      <c r="G29" s="6"/>
      <c r="H29" s="6"/>
      <c r="I29" s="6"/>
    </row>
    <row r="30" spans="2:9" x14ac:dyDescent="0.3">
      <c r="B30" s="6"/>
      <c r="C30" s="6"/>
      <c r="D30" s="6"/>
      <c r="E30" s="6"/>
      <c r="F30" s="6"/>
      <c r="G30" s="6"/>
      <c r="H30" s="6"/>
      <c r="I30" s="6"/>
    </row>
    <row r="31" spans="2:9" x14ac:dyDescent="0.3">
      <c r="B31" s="6"/>
      <c r="C31" s="6"/>
      <c r="D31" s="6"/>
      <c r="E31" s="6"/>
      <c r="F31" s="6"/>
      <c r="G31" s="6"/>
      <c r="H31" s="6"/>
      <c r="I31" s="6"/>
    </row>
    <row r="32" spans="2:9" x14ac:dyDescent="0.3">
      <c r="B32" s="6"/>
      <c r="C32" s="6"/>
      <c r="D32" s="6"/>
      <c r="E32" s="6"/>
      <c r="F32" s="6"/>
      <c r="G32" s="6"/>
      <c r="H32" s="6"/>
      <c r="I32" s="6"/>
    </row>
    <row r="33" spans="2:9" x14ac:dyDescent="0.3">
      <c r="B33" s="6"/>
      <c r="C33" s="6"/>
      <c r="D33" s="6"/>
      <c r="E33" s="6"/>
      <c r="F33" s="6"/>
      <c r="G33" s="6"/>
      <c r="H33" s="6"/>
      <c r="I33" s="6"/>
    </row>
    <row r="34" spans="2:9" x14ac:dyDescent="0.3">
      <c r="B34" s="6"/>
      <c r="C34" s="6"/>
      <c r="D34" s="6"/>
      <c r="E34" s="6"/>
      <c r="F34" s="6"/>
      <c r="G34" s="6"/>
      <c r="H34" s="6"/>
      <c r="I34" s="6"/>
    </row>
    <row r="35" spans="2:9" x14ac:dyDescent="0.3">
      <c r="B35" s="6"/>
      <c r="C35" s="6"/>
      <c r="D35" s="6"/>
      <c r="E35" s="6"/>
      <c r="F35" s="6"/>
      <c r="G35" s="6"/>
      <c r="H35" s="6"/>
      <c r="I35" s="6"/>
    </row>
    <row r="36" spans="2:9" x14ac:dyDescent="0.3">
      <c r="B36" s="6"/>
      <c r="C36" s="6"/>
      <c r="D36" s="6"/>
      <c r="E36" s="6"/>
      <c r="F36" s="6"/>
      <c r="G36" s="6"/>
      <c r="H36" s="6"/>
      <c r="I36" s="6"/>
    </row>
    <row r="37" spans="2:9" x14ac:dyDescent="0.3">
      <c r="B37" s="6"/>
      <c r="C37" s="6"/>
      <c r="D37" s="6"/>
      <c r="E37" s="6"/>
      <c r="F37" s="6"/>
      <c r="G37" s="6"/>
      <c r="H37" s="6"/>
      <c r="I37" s="6"/>
    </row>
    <row r="38" spans="2:9" x14ac:dyDescent="0.3">
      <c r="B38" s="6"/>
      <c r="C38" s="6"/>
      <c r="D38" s="6"/>
      <c r="E38" s="6"/>
      <c r="F38" s="6"/>
      <c r="G38" s="6"/>
      <c r="H38" s="6"/>
      <c r="I38" s="6"/>
    </row>
    <row r="39" spans="2:9" x14ac:dyDescent="0.3">
      <c r="B39" s="6"/>
      <c r="C39" s="6"/>
      <c r="D39" s="6"/>
      <c r="E39" s="6"/>
      <c r="F39" s="6"/>
      <c r="G39" s="6"/>
      <c r="H39" s="6"/>
      <c r="I39" s="6"/>
    </row>
    <row r="40" spans="2:9" x14ac:dyDescent="0.3">
      <c r="B40" s="6"/>
      <c r="C40" s="6"/>
      <c r="D40" s="6"/>
      <c r="E40" s="6"/>
      <c r="F40" s="6"/>
      <c r="G40" s="6"/>
      <c r="H40" s="6"/>
      <c r="I40" s="6"/>
    </row>
    <row r="41" spans="2:9" x14ac:dyDescent="0.3">
      <c r="B41" s="6"/>
      <c r="C41" s="6"/>
      <c r="D41" s="6"/>
      <c r="E41" s="6"/>
      <c r="F41" s="6"/>
      <c r="G41" s="6"/>
      <c r="H41" s="6"/>
      <c r="I41" s="6"/>
    </row>
    <row r="42" spans="2:9" x14ac:dyDescent="0.3">
      <c r="B42" s="6"/>
      <c r="C42" s="6"/>
      <c r="D42" s="6"/>
      <c r="E42" s="6"/>
      <c r="F42" s="6"/>
      <c r="G42" s="6"/>
      <c r="H42" s="6"/>
      <c r="I42" s="6"/>
    </row>
    <row r="43" spans="2:9" x14ac:dyDescent="0.3">
      <c r="B43" s="6"/>
      <c r="C43" s="6"/>
      <c r="D43" s="6"/>
      <c r="E43" s="6"/>
      <c r="F43" s="6"/>
      <c r="G43" s="6"/>
      <c r="H43" s="6"/>
      <c r="I43" s="6"/>
    </row>
    <row r="44" spans="2:9" x14ac:dyDescent="0.3">
      <c r="B44" s="6"/>
      <c r="C44" s="6"/>
      <c r="D44" s="6"/>
      <c r="E44" s="6"/>
      <c r="F44" s="6"/>
      <c r="G44" s="6"/>
      <c r="H44" s="6"/>
      <c r="I44" s="6"/>
    </row>
    <row r="45" spans="2:9" x14ac:dyDescent="0.3">
      <c r="B45" s="6"/>
      <c r="C45" s="6"/>
      <c r="D45" s="6"/>
      <c r="E45" s="6"/>
      <c r="F45" s="6"/>
      <c r="G45" s="6"/>
      <c r="H45" s="6"/>
      <c r="I45" s="6"/>
    </row>
    <row r="46" spans="2:9" x14ac:dyDescent="0.3">
      <c r="B46" s="6"/>
      <c r="C46" s="6"/>
      <c r="D46" s="6"/>
      <c r="E46" s="6"/>
      <c r="F46" s="6"/>
      <c r="G46" s="6"/>
      <c r="H46" s="6"/>
      <c r="I46" s="6"/>
    </row>
    <row r="47" spans="2:9" x14ac:dyDescent="0.3">
      <c r="B47" s="6"/>
      <c r="C47" s="6"/>
      <c r="D47" s="6"/>
      <c r="E47" s="6"/>
      <c r="F47" s="6"/>
      <c r="G47" s="6"/>
      <c r="H47" s="6"/>
      <c r="I47" s="6"/>
    </row>
    <row r="48" spans="2:9" x14ac:dyDescent="0.3">
      <c r="B48" s="6"/>
      <c r="C48" s="6"/>
      <c r="D48" s="6"/>
      <c r="E48" s="6"/>
      <c r="F48" s="6"/>
      <c r="G48" s="6"/>
      <c r="H48" s="6"/>
      <c r="I48" s="6"/>
    </row>
    <row r="49" spans="2:9" x14ac:dyDescent="0.3">
      <c r="B49" s="6"/>
      <c r="C49" s="6"/>
      <c r="D49" s="6"/>
      <c r="E49" s="6"/>
      <c r="F49" s="6"/>
      <c r="G49" s="6"/>
      <c r="H49" s="6"/>
      <c r="I49" s="6"/>
    </row>
    <row r="50" spans="2:9" x14ac:dyDescent="0.3">
      <c r="B50" s="6"/>
      <c r="C50" s="6"/>
      <c r="D50" s="6"/>
      <c r="E50" s="6"/>
      <c r="F50" s="6"/>
      <c r="G50" s="6"/>
      <c r="H50" s="6"/>
      <c r="I50" s="6"/>
    </row>
    <row r="51" spans="2:9" x14ac:dyDescent="0.3">
      <c r="B51" s="6"/>
      <c r="C51" s="6"/>
      <c r="D51" s="6"/>
      <c r="E51" s="6"/>
      <c r="F51" s="6"/>
      <c r="G51" s="6"/>
      <c r="H51" s="6"/>
      <c r="I51" s="6"/>
    </row>
    <row r="52" spans="2:9" x14ac:dyDescent="0.3">
      <c r="B52" s="6"/>
      <c r="C52" s="6"/>
      <c r="D52" s="6"/>
      <c r="E52" s="6"/>
      <c r="F52" s="6"/>
      <c r="G52" s="6"/>
      <c r="H52" s="6"/>
      <c r="I52" s="6"/>
    </row>
    <row r="53" spans="2:9" x14ac:dyDescent="0.3">
      <c r="B53" s="6"/>
      <c r="C53" s="6"/>
      <c r="D53" s="6"/>
      <c r="E53" s="6"/>
      <c r="F53" s="6"/>
      <c r="G53" s="6"/>
      <c r="H53" s="6"/>
      <c r="I53" s="6"/>
    </row>
    <row r="54" spans="2:9" x14ac:dyDescent="0.3">
      <c r="B54" s="11"/>
      <c r="C54" s="11"/>
      <c r="D54" s="11"/>
      <c r="E54" s="11"/>
      <c r="F54" s="11"/>
      <c r="G54" s="11"/>
      <c r="H54" s="11"/>
      <c r="I54" s="11"/>
    </row>
    <row r="55" spans="2:9" x14ac:dyDescent="0.3">
      <c r="B55" s="11"/>
      <c r="C55" s="11"/>
      <c r="D55" s="11"/>
      <c r="E55" s="11"/>
      <c r="F55" s="11"/>
      <c r="G55" s="11"/>
      <c r="H55" s="11"/>
      <c r="I55" s="11"/>
    </row>
    <row r="56" spans="2:9" x14ac:dyDescent="0.3">
      <c r="B56" s="11"/>
      <c r="C56" s="11"/>
      <c r="D56" s="11"/>
      <c r="E56" s="11"/>
      <c r="F56" s="11"/>
      <c r="G56" s="11"/>
      <c r="H56" s="11"/>
      <c r="I56" s="11"/>
    </row>
    <row r="57" spans="2:9" x14ac:dyDescent="0.3">
      <c r="B57" s="11"/>
      <c r="C57" s="11"/>
      <c r="D57" s="11"/>
      <c r="E57" s="11"/>
      <c r="F57" s="11"/>
      <c r="G57" s="11"/>
      <c r="H57" s="11"/>
      <c r="I57" s="11"/>
    </row>
    <row r="58" spans="2:9" x14ac:dyDescent="0.3">
      <c r="B58" s="11"/>
      <c r="C58" s="11"/>
      <c r="D58" s="11"/>
      <c r="E58" s="11"/>
      <c r="F58" s="11"/>
      <c r="G58" s="11"/>
      <c r="H58" s="11"/>
      <c r="I58" s="11"/>
    </row>
    <row r="59" spans="2:9" x14ac:dyDescent="0.3">
      <c r="B59" s="11"/>
      <c r="C59" s="11"/>
      <c r="D59" s="11"/>
      <c r="E59" s="11"/>
      <c r="F59" s="11"/>
      <c r="G59" s="11"/>
      <c r="H59" s="11"/>
      <c r="I59" s="11"/>
    </row>
    <row r="60" spans="2:9" x14ac:dyDescent="0.3">
      <c r="B60" s="11"/>
      <c r="C60" s="11"/>
      <c r="D60" s="11"/>
      <c r="E60" s="11"/>
      <c r="F60" s="11"/>
      <c r="G60" s="11"/>
      <c r="H60" s="11"/>
      <c r="I60" s="11"/>
    </row>
    <row r="61" spans="2:9" x14ac:dyDescent="0.3">
      <c r="B61" s="11"/>
      <c r="C61" s="11"/>
      <c r="D61" s="11"/>
      <c r="E61" s="11"/>
      <c r="F61" s="11"/>
      <c r="G61" s="11"/>
      <c r="H61" s="11"/>
      <c r="I61" s="11"/>
    </row>
    <row r="62" spans="2:9" x14ac:dyDescent="0.3">
      <c r="B62" s="11"/>
      <c r="C62" s="11"/>
      <c r="D62" s="11"/>
      <c r="E62" s="11"/>
      <c r="F62" s="11"/>
      <c r="G62" s="11"/>
      <c r="H62" s="11"/>
      <c r="I62" s="11"/>
    </row>
    <row r="63" spans="2:9" x14ac:dyDescent="0.3">
      <c r="B63" s="11"/>
      <c r="C63" s="11"/>
      <c r="D63" s="11"/>
      <c r="E63" s="11"/>
      <c r="F63" s="11"/>
      <c r="G63" s="11"/>
      <c r="H63" s="11"/>
      <c r="I63" s="11"/>
    </row>
    <row r="64" spans="2:9" x14ac:dyDescent="0.3">
      <c r="B64" s="11"/>
      <c r="C64" s="11"/>
      <c r="D64" s="11"/>
      <c r="E64" s="11"/>
      <c r="F64" s="11"/>
      <c r="G64" s="11"/>
      <c r="H64" s="11"/>
      <c r="I64" s="11"/>
    </row>
    <row r="65" spans="2:9" x14ac:dyDescent="0.3">
      <c r="B65" s="11"/>
      <c r="C65" s="11"/>
      <c r="D65" s="11"/>
      <c r="E65" s="11"/>
      <c r="F65" s="11"/>
      <c r="G65" s="11"/>
      <c r="H65" s="11"/>
      <c r="I65" s="11"/>
    </row>
    <row r="66" spans="2:9" x14ac:dyDescent="0.3">
      <c r="B66" s="11"/>
      <c r="C66" s="11"/>
      <c r="D66" s="11"/>
      <c r="E66" s="11"/>
      <c r="F66" s="11"/>
      <c r="G66" s="11"/>
      <c r="H66" s="11"/>
      <c r="I66" s="11"/>
    </row>
    <row r="67" spans="2:9" x14ac:dyDescent="0.3">
      <c r="B67" s="11"/>
      <c r="C67" s="11"/>
      <c r="D67" s="11"/>
      <c r="E67" s="11"/>
      <c r="F67" s="11"/>
      <c r="G67" s="11"/>
      <c r="H67" s="11"/>
      <c r="I67" s="11"/>
    </row>
    <row r="68" spans="2:9" x14ac:dyDescent="0.3">
      <c r="B68" s="11"/>
      <c r="C68" s="11"/>
      <c r="D68" s="11"/>
      <c r="E68" s="11"/>
      <c r="F68" s="11"/>
      <c r="G68" s="11"/>
      <c r="H68" s="11"/>
      <c r="I68" s="11"/>
    </row>
    <row r="69" spans="2:9" x14ac:dyDescent="0.3">
      <c r="B69" s="11"/>
      <c r="C69" s="11"/>
      <c r="D69" s="11"/>
      <c r="E69" s="11"/>
      <c r="F69" s="11"/>
      <c r="G69" s="11"/>
      <c r="H69" s="11"/>
      <c r="I69" s="11"/>
    </row>
    <row r="70" spans="2:9" x14ac:dyDescent="0.3">
      <c r="B70" s="11"/>
      <c r="C70" s="11"/>
      <c r="D70" s="11"/>
      <c r="E70" s="11"/>
      <c r="F70" s="11"/>
      <c r="G70" s="11"/>
      <c r="H70" s="11"/>
      <c r="I70" s="11"/>
    </row>
    <row r="71" spans="2:9" x14ac:dyDescent="0.3">
      <c r="B71" s="11"/>
      <c r="C71" s="11"/>
      <c r="D71" s="11"/>
      <c r="E71" s="11"/>
      <c r="F71" s="11"/>
      <c r="G71" s="11"/>
      <c r="H71" s="11"/>
      <c r="I71" s="11"/>
    </row>
  </sheetData>
  <mergeCells count="1">
    <mergeCell ref="B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Project_Overview</vt:lpstr>
      <vt:lpstr>Raw_data</vt:lpstr>
      <vt:lpstr>Analysis</vt:lpstr>
      <vt:lpstr>Forecast_Model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mishra</dc:creator>
  <cp:lastModifiedBy>kushagra mishra</cp:lastModifiedBy>
  <dcterms:created xsi:type="dcterms:W3CDTF">2026-02-19T09:05:17Z</dcterms:created>
  <dcterms:modified xsi:type="dcterms:W3CDTF">2026-02-19T11:47:22Z</dcterms:modified>
</cp:coreProperties>
</file>